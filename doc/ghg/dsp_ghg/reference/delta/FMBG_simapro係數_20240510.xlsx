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ltaBox\OneDrive - Delta Electronics, Inc\年度報告資料\2023\碳足跡\產品碳足跡\2023 產品碳足跡計算_內部開課\FMBG Simapro 係數database\"/>
    </mc:Choice>
  </mc:AlternateContent>
  <xr:revisionPtr revIDLastSave="0" documentId="13_ncr:1_{F7BDAB70-CD1A-4FCA-9193-2F3937D0E254}" xr6:coauthVersionLast="36" xr6:coauthVersionMax="36" xr10:uidLastSave="{00000000-0000-0000-0000-000000000000}"/>
  <bookViews>
    <workbookView xWindow="400" yWindow="120" windowWidth="22060" windowHeight="8400" tabRatio="878" activeTab="4" xr2:uid="{00000000-000D-0000-FFFF-FFFF00000000}"/>
  </bookViews>
  <sheets>
    <sheet name="使用說明" sheetId="17" r:id="rId1"/>
    <sheet name="材料_EE part" sheetId="6" r:id="rId2"/>
    <sheet name="biopolymer" sheetId="8" state="hidden" r:id="rId3"/>
    <sheet name="recycling" sheetId="9" state="hidden" r:id="rId4"/>
    <sheet name="材料_ME part" sheetId="13" r:id="rId5"/>
    <sheet name="thermoplast" sheetId="11" state="hidden" r:id="rId6"/>
    <sheet name="Transportation (運輸)" sheetId="14" r:id="rId7"/>
    <sheet name="Electricity (電力)" sheetId="15" r:id="rId8"/>
    <sheet name="Waste (廢棄物)" sheetId="16" r:id="rId9"/>
    <sheet name="battery" sheetId="4" r:id="rId10"/>
  </sheets>
  <definedNames>
    <definedName name="_xlnm._FilterDatabase" localSheetId="4" hidden="1">'材料_ME part'!$A$1:$J$109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13" l="1"/>
  <c r="C37" i="13" l="1"/>
  <c r="C31" i="13"/>
  <c r="C30" i="13"/>
  <c r="C27" i="13"/>
  <c r="C2" i="13"/>
  <c r="C92" i="13" l="1"/>
  <c r="C91" i="13"/>
  <c r="C90" i="13"/>
  <c r="C87" i="13"/>
  <c r="C42" i="13"/>
  <c r="G143" i="13"/>
  <c r="C41" i="13"/>
  <c r="E97" i="13"/>
  <c r="C96" i="13"/>
  <c r="C97" i="13"/>
  <c r="G144" i="13"/>
  <c r="G138" i="13"/>
  <c r="I125" i="13"/>
  <c r="I126" i="13"/>
  <c r="G127" i="13"/>
  <c r="C95" i="13"/>
  <c r="C94" i="13"/>
  <c r="C93" i="13"/>
  <c r="C89" i="13"/>
  <c r="C86" i="13"/>
  <c r="C3" i="13"/>
  <c r="C4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LILY.CHOU 周宜芳</author>
  </authors>
  <commentList>
    <comment ref="I1" authorId="0" shapeId="0" xr:uid="{00000000-0006-0000-0000-000001000000}">
      <text>
        <r>
          <rPr>
            <b/>
            <sz val="12"/>
            <color indexed="81"/>
            <rFont val="微軟正黑體"/>
            <family val="2"/>
            <charset val="136"/>
          </rPr>
          <t>是指查詢simapro 時
是以哪個料號的規格為基準去查詢?
方便後人比對規格時，確認是否為同類型材料時使用</t>
        </r>
        <r>
          <rPr>
            <b/>
            <sz val="12"/>
            <color indexed="81"/>
            <rFont val="細明體"/>
            <family val="3"/>
            <charset val="136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LILY.CHOU 周宜芳</author>
  </authors>
  <commentList>
    <comment ref="I1" authorId="0" shapeId="0" xr:uid="{00000000-0006-0000-0300-000001000000}">
      <text>
        <r>
          <rPr>
            <b/>
            <sz val="12"/>
            <color indexed="81"/>
            <rFont val="微軟正黑體"/>
            <family val="2"/>
            <charset val="136"/>
          </rPr>
          <t>是指查詢simapro 時
是以哪個料號的規格為基準去查詢?
方便後人比對規格時，確認是否為同類型材料時使用</t>
        </r>
        <r>
          <rPr>
            <b/>
            <sz val="12"/>
            <color indexed="81"/>
            <rFont val="細明體"/>
            <family val="3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<sst xmlns="http://schemas.openxmlformats.org/spreadsheetml/2006/main" count="1271" uniqueCount="630">
  <si>
    <r>
      <t xml:space="preserve">1. </t>
    </r>
    <r>
      <rPr>
        <sz val="12"/>
        <color theme="1"/>
        <rFont val="Microsoft JhengHei UI"/>
        <family val="2"/>
        <charset val="136"/>
      </rPr>
      <t>從料頭確認尋找</t>
    </r>
    <r>
      <rPr>
        <sz val="12"/>
        <color theme="1"/>
        <rFont val="Microsoft JhengHei Light"/>
        <family val="2"/>
        <charset val="136"/>
      </rPr>
      <t>材料係數</t>
    </r>
    <phoneticPr fontId="1" type="noConversion"/>
  </si>
  <si>
    <t>2.若找不到對應材料可以尋找相近的的材料係數取代</t>
    <phoneticPr fontId="1" type="noConversion"/>
  </si>
  <si>
    <t>項次</t>
    <phoneticPr fontId="1" type="noConversion"/>
  </si>
  <si>
    <t>料頭</t>
    <phoneticPr fontId="1" type="noConversion"/>
  </si>
  <si>
    <t>碳排值</t>
    <phoneticPr fontId="1" type="noConversion"/>
  </si>
  <si>
    <t>碳排單位</t>
    <phoneticPr fontId="1" type="noConversion"/>
  </si>
  <si>
    <t>項目說明</t>
    <phoneticPr fontId="1" type="noConversion"/>
  </si>
  <si>
    <t>項目說明 (中譯)</t>
    <phoneticPr fontId="1" type="noConversion"/>
  </si>
  <si>
    <t>材料計算單位</t>
    <phoneticPr fontId="1" type="noConversion"/>
  </si>
  <si>
    <t>資料來源</t>
    <phoneticPr fontId="1" type="noConversion"/>
  </si>
  <si>
    <t>參考料號</t>
    <phoneticPr fontId="1" type="noConversion"/>
  </si>
  <si>
    <t>備註</t>
    <phoneticPr fontId="1" type="noConversion"/>
  </si>
  <si>
    <t>kgCO2e</t>
    <phoneticPr fontId="1" type="noConversion"/>
  </si>
  <si>
    <t>Printed wiring board, for power supply unit, desktop computer, Pb containing {GLO}| market for | APOS, S</t>
    <phoneticPr fontId="1" type="noConversion"/>
  </si>
  <si>
    <t>印刷線路板，用於電源裝置、桌上型電腦、含鉛</t>
    <phoneticPr fontId="1" type="noConversion"/>
  </si>
  <si>
    <t>kg</t>
    <phoneticPr fontId="1" type="noConversion"/>
  </si>
  <si>
    <t>Simapro9.3</t>
    <phoneticPr fontId="1" type="noConversion"/>
  </si>
  <si>
    <t>Printed wiring board, for power supply unit, desktop computer, Pb free {GLO}| market for | APOS, S</t>
    <phoneticPr fontId="1" type="noConversion"/>
  </si>
  <si>
    <t>印刷線路板，用於電源裝置、桌上型電腦、無鉛</t>
    <phoneticPr fontId="1" type="noConversion"/>
  </si>
  <si>
    <t>Printed wiring board, for surface mounting, Pb containing surface {GLO}| market for | APOS, S</t>
    <phoneticPr fontId="1" type="noConversion"/>
  </si>
  <si>
    <t>貼片/有鉛，印刷線路板，用於表面安裝，含鉛表面</t>
    <phoneticPr fontId="1" type="noConversion"/>
  </si>
  <si>
    <t>m2</t>
    <phoneticPr fontId="1" type="noConversion"/>
  </si>
  <si>
    <t>Printed wiring board, for surface mounting, Pb free surface {GLO}| market for | APOS, S</t>
    <phoneticPr fontId="1" type="noConversion"/>
  </si>
  <si>
    <t>貼片/無鉛，印刷線路板，用於表面安裝，無鉛表面</t>
    <phoneticPr fontId="1" type="noConversion"/>
  </si>
  <si>
    <t>Printed wiring board, for through-hole mounting, Pb containing surface {GLO}| market for | APOS, S</t>
    <phoneticPr fontId="1" type="noConversion"/>
  </si>
  <si>
    <t>插件版/有鉛，印刷線路板，用於通孔安裝，含鉛表面</t>
    <phoneticPr fontId="1" type="noConversion"/>
  </si>
  <si>
    <t>Printed wiring board, for through-hole mounting, Pb free surface {GLO}| market for | APOS, S</t>
    <phoneticPr fontId="1" type="noConversion"/>
  </si>
  <si>
    <t>插件版/無鉛，印刷線路板，用於通孔安裝，無鉛表面</t>
    <phoneticPr fontId="1" type="noConversion"/>
  </si>
  <si>
    <t>Printed wiring board, mounted mainboard, desktop computer, Pb containing {GLO}| market for | APOS, S</t>
    <phoneticPr fontId="1" type="noConversion"/>
  </si>
  <si>
    <t>印刷線路板、安裝主機板、桌上型電腦、含鉛</t>
    <phoneticPr fontId="1" type="noConversion"/>
  </si>
  <si>
    <t>Printed wiring board, mounted mainboard, desktop computer, Pb free {GLO}| market for | APOS, S</t>
    <phoneticPr fontId="1" type="noConversion"/>
  </si>
  <si>
    <t>印刷線路板、安裝主機板、桌上型電腦、無鉛</t>
    <phoneticPr fontId="1" type="noConversion"/>
  </si>
  <si>
    <t>Printed wiring board, mounted mainboard, laptop computer, Pb containing {GLO}| market for | APOS, S</t>
    <phoneticPr fontId="1" type="noConversion"/>
  </si>
  <si>
    <t>印刷線路板、安裝主機板、筆記型電腦、含鉛</t>
    <phoneticPr fontId="1" type="noConversion"/>
  </si>
  <si>
    <t>Printed wiring board, mounted mainboard, laptop computer, Pb free {GLO}| market for | APOS, S</t>
    <phoneticPr fontId="1" type="noConversion"/>
  </si>
  <si>
    <t>印刷線路板、安裝主機板、筆記型電腦、無鉛</t>
    <phoneticPr fontId="1" type="noConversion"/>
  </si>
  <si>
    <t>Printed wiring board, mounted mainboard, mobile device, double-sided, Pb free {GLO}| market for printed wiring board, mounted mainboard, mobile device, double-sided, Pb free | APOS, S</t>
    <phoneticPr fontId="1" type="noConversion"/>
  </si>
  <si>
    <t>印刷線路板、安裝主機板、行動裝置、雙面、無鉛</t>
    <phoneticPr fontId="1" type="noConversion"/>
  </si>
  <si>
    <t>Printed wiring board, surface mounted, unspecified, Pb containing {GLO}| market for | APOS, S</t>
    <phoneticPr fontId="1" type="noConversion"/>
  </si>
  <si>
    <t>印刷線路板，表面安裝，未指定，含鉛</t>
    <phoneticPr fontId="1" type="noConversion"/>
  </si>
  <si>
    <t>Printed wiring board, surface mounted, unspecified, Pb free {GLO}| market for | APOS, S</t>
    <phoneticPr fontId="1" type="noConversion"/>
  </si>
  <si>
    <t>印刷線路板，表面安裝，未指定，無鉛</t>
    <phoneticPr fontId="1" type="noConversion"/>
  </si>
  <si>
    <t>Printed wiring board, through-hole mounted, unspecified, Pb containing {GLO}| market for | APOS, S</t>
    <phoneticPr fontId="1" type="noConversion"/>
  </si>
  <si>
    <t>印刷線路板，通孔安裝，未指定，含鉛</t>
  </si>
  <si>
    <t>Printed wiring board, through-hole mounted, unspecified, Pb free {GLO}| market for | APOS, S</t>
    <phoneticPr fontId="1" type="noConversion"/>
  </si>
  <si>
    <t>印刷線路板，通孔安裝，未指定，無鉛</t>
    <phoneticPr fontId="1" type="noConversion"/>
  </si>
  <si>
    <t>Anode, graphite, for lithium-ion battery {GLO}| market for | APOS, S</t>
  </si>
  <si>
    <r>
      <t>•</t>
    </r>
    <r>
      <rPr>
        <sz val="12"/>
        <color rgb="FF000000"/>
        <rFont val="微軟正黑體"/>
        <family val="2"/>
        <charset val="136"/>
      </rPr>
      <t>陽極，石墨，用於鋰離子電池 {全球}| 市場為 | APOS，S</t>
    </r>
  </si>
  <si>
    <t>Backlight, for liquid crystal display {GLO}| market for | APOS, S</t>
  </si>
  <si>
    <t>背光，用於液晶顯示屏 {全球}| 市場為 | APOS，S</t>
  </si>
  <si>
    <t>Battery separator {GLO}| market for | APOS, S</t>
  </si>
  <si>
    <t>電池分隔器 {全球}| 市場為 | APOS，S</t>
  </si>
  <si>
    <t>Capacitor, auxilliaries and energy use {GLO}| market for | APOS, S</t>
    <phoneticPr fontId="1" type="noConversion"/>
  </si>
  <si>
    <t>電容器，輔助和能源使用 {全球}| 市場為 | APOS，S</t>
  </si>
  <si>
    <t>144</t>
    <phoneticPr fontId="1" type="noConversion"/>
  </si>
  <si>
    <t>Capacitor, electrolyte type, &lt; 2cm height {GLO}| market for | APOS, S</t>
    <phoneticPr fontId="1" type="noConversion"/>
  </si>
  <si>
    <t>電解質型電容器，高度&lt;2厘米 {全球}| 市場為 | APOS，S</t>
  </si>
  <si>
    <t>Capacitor, electrolyte type, &gt; 2cm height {GLO}| market for | APOS, S</t>
  </si>
  <si>
    <t>電解質型電容器，高度&gt;2厘米 {全球}| 市場為 | APOS，S</t>
  </si>
  <si>
    <t>160</t>
    <phoneticPr fontId="1" type="noConversion"/>
  </si>
  <si>
    <t>Capacitor, film type, for through-hole mounting {GLO}| market for | APOS, S</t>
  </si>
  <si>
    <t>用於插孔安裝的膜型電容器 {全球}| 市場為 | APOS，S</t>
  </si>
  <si>
    <t>DIP</t>
    <phoneticPr fontId="1" type="noConversion"/>
  </si>
  <si>
    <t>106, 15*</t>
    <phoneticPr fontId="1" type="noConversion"/>
  </si>
  <si>
    <t>Capacitor, for surface-mounting {GLO}| market for | APOS, S</t>
  </si>
  <si>
    <t>表面安裝用電容器 {全球}| 市場為 | APOS，S</t>
  </si>
  <si>
    <t>SMD</t>
    <phoneticPr fontId="1" type="noConversion"/>
  </si>
  <si>
    <t>106</t>
    <phoneticPr fontId="1" type="noConversion"/>
  </si>
  <si>
    <t>Capacitor, tantalum-, for through-hole mounting {GLO}| market for | APOS, S</t>
    <phoneticPr fontId="1" type="noConversion"/>
  </si>
  <si>
    <t>插孔安裝的鉭型電容器 {全球}| 市場為 | APOS，S</t>
  </si>
  <si>
    <t>390</t>
    <phoneticPr fontId="1" type="noConversion"/>
  </si>
  <si>
    <t>Chassis, internet access equipment {GLO}| market for | APOS, S</t>
    <phoneticPr fontId="1" type="noConversion"/>
  </si>
  <si>
    <t>互聯網接入設備底座 {全球}| 市場為 | APOS，S</t>
    <phoneticPr fontId="1" type="noConversion"/>
  </si>
  <si>
    <t>Compact fluorescent lamp {GLO}| market for compact fluorescent lamp | APOS, S</t>
    <phoneticPr fontId="1" type="noConversion"/>
  </si>
  <si>
    <t>緊湊螢光燈 {全球}| 市場為緊湊螢光燈 | APOS，S</t>
  </si>
  <si>
    <t>p</t>
    <phoneticPr fontId="1" type="noConversion"/>
  </si>
  <si>
    <t>201~203</t>
    <phoneticPr fontId="1" type="noConversion"/>
  </si>
  <si>
    <t>Diode, auxilliaries and energy use {GLO}| market for | APOS, S</t>
    <phoneticPr fontId="1" type="noConversion"/>
  </si>
  <si>
    <t>二極管，輔助和能源使用 {全球}| 市場為 | APOS，S</t>
  </si>
  <si>
    <t>203, 204</t>
    <phoneticPr fontId="1" type="noConversion"/>
  </si>
  <si>
    <t>Diode, glass-, for surface-mounting {GLO}| market for | APOS, S</t>
  </si>
  <si>
    <t>表面安裝用玻璃二極管 {全球}| 市場為 | APOS，S</t>
  </si>
  <si>
    <t>Diode, glass-, for through-hole mounting {GLO}| market for | APOS, S</t>
  </si>
  <si>
    <t>插孔安裝用玻璃二極管 {全球}| 市場為 | APOS，S</t>
  </si>
  <si>
    <t>231~232, 242~243,250~252, 505</t>
    <phoneticPr fontId="1" type="noConversion"/>
  </si>
  <si>
    <t>Electronic component, active, unspecified {GLO}| market for | APOS, S</t>
  </si>
  <si>
    <t>主動電子元件，未指定 {全球}| 市場為 | APOS，S</t>
  </si>
  <si>
    <t>099</t>
    <phoneticPr fontId="1" type="noConversion"/>
  </si>
  <si>
    <t>Electronic component, passive, mobile, earpiece and speaker {GLO}| market for electronic component, passive, mobile, earpiece and speaker | APOS, S</t>
  </si>
  <si>
    <t>被動移動式耳機和揚聲器的被動電子元件 {全球}| 市場為被動電子元件，被動移動式耳機和揚聲器 | APOS，S</t>
  </si>
  <si>
    <t>藍芽喇叭</t>
    <phoneticPr fontId="1" type="noConversion"/>
  </si>
  <si>
    <t>089</t>
    <phoneticPr fontId="1" type="noConversion"/>
  </si>
  <si>
    <t>Electronic component, passive, unspecified {GLO}| market for | APOS, S</t>
  </si>
  <si>
    <t>被動電子元件，未指定 {全球}| 市場為 | APOS，S</t>
    <phoneticPr fontId="1" type="noConversion"/>
  </si>
  <si>
    <t>504</t>
    <phoneticPr fontId="1" type="noConversion"/>
  </si>
  <si>
    <t>Electronics, for control units {GLO}| market for | APOS, S</t>
  </si>
  <si>
    <t>用於控制單元的電子產品 {全球}| 市場為 | APOS，S</t>
  </si>
  <si>
    <t>Frit, for cathode ray tube display {GLO}| market for | APOS, S</t>
  </si>
  <si>
    <t xml:space="preserve"> 陽極射線管顯示器的燒結料 {全球}| 市場為 | APOS，S</t>
  </si>
  <si>
    <t>Funnel glass, for cathode ray tube display {GLO}| market for | APOS, S</t>
    <phoneticPr fontId="1" type="noConversion"/>
  </si>
  <si>
    <t xml:space="preserve"> 陽極射線管顯示器的漏斗玻璃 {全球}| 市場為 | APOS，S</t>
  </si>
  <si>
    <t>073</t>
    <phoneticPr fontId="1" type="noConversion"/>
  </si>
  <si>
    <t>Glass, for liquid crystal display {GLO}| market for | APOS, S</t>
  </si>
  <si>
    <t>液晶顯示屏用玻璃 {全球}| 市場為 | APOS，S</t>
  </si>
  <si>
    <t>281, 290, 292</t>
    <phoneticPr fontId="1" type="noConversion"/>
  </si>
  <si>
    <t>Inductor, auxilliaries and energy use {GLO}| market for | APOS, S</t>
    <phoneticPr fontId="1" type="noConversion"/>
  </si>
  <si>
    <t>電感器，輔助和能源使用 {全球}| 市場為 | APOS，S</t>
  </si>
  <si>
    <t>Inductor, low value multilayer chip {GLO}| market for | APOS, S</t>
  </si>
  <si>
    <t xml:space="preserve"> 低值多層芯片電感器 {全球}| 市場為 | APOS，S</t>
  </si>
  <si>
    <t>Inductor, miniature radio frequency chip {GLO}| market for | APOS, S</t>
  </si>
  <si>
    <t>微型射頻芯片電感器 {全球}| 市場為 | APOS，S</t>
  </si>
  <si>
    <t>Inductor, ring core choke type {GLO}| market for | APOS, S</t>
  </si>
  <si>
    <t>環形磁心式電感器 {全球}| 市場為 | APOS，S</t>
  </si>
  <si>
    <t>216</t>
    <phoneticPr fontId="1" type="noConversion"/>
  </si>
  <si>
    <t>Insulated gate bipolar transistor, electric vehicle application {GLO}| market for | APOS, S</t>
  </si>
  <si>
    <t>絕緣閘極雙極電晶體，電動車應用 {全球}| 市場為 | APOS，S</t>
    <phoneticPr fontId="1" type="noConversion"/>
  </si>
  <si>
    <t>Integrated circuit, logic type {GLO}| market for | APOS, S</t>
    <phoneticPr fontId="1" type="noConversion"/>
  </si>
  <si>
    <t>邏輯型集成電路 {全球}| 市場為 | APOS，S</t>
  </si>
  <si>
    <t>261,263,264</t>
    <phoneticPr fontId="1" type="noConversion"/>
  </si>
  <si>
    <t>Integrated circuit, memory type {GLO}| market for | APOS, S</t>
    <phoneticPr fontId="1" type="noConversion"/>
  </si>
  <si>
    <t>記憶型集成電路 {全球}| 市場為 | APOS，S</t>
  </si>
  <si>
    <t>230</t>
    <phoneticPr fontId="1" type="noConversion"/>
  </si>
  <si>
    <t>Light emitting diode {GLO}| market for | APOS, S</t>
  </si>
  <si>
    <t>發光二極管 {全球}| 市場為 | APOS，S</t>
  </si>
  <si>
    <t>50500</t>
    <phoneticPr fontId="1" type="noConversion"/>
  </si>
  <si>
    <t>Panel glass, for cathode ray tube display {GLO}| market for | APOS, S</t>
  </si>
  <si>
    <t>陰極射線管顯示器的面板玻璃 {全球}| 市場為 | APOS，S</t>
    <phoneticPr fontId="1" type="noConversion"/>
  </si>
  <si>
    <t>Permanent magnet, for electric motor {GLO}| market for permanent magnet, for electric motor | APOS, S</t>
  </si>
  <si>
    <t>電動馬達用永磁鐵 {全球}| 市場為電動馬達用永磁鐵 | APOS，S</t>
    <phoneticPr fontId="1" type="noConversion"/>
  </si>
  <si>
    <t>Plug, inlet and outlet, for computer cable {GLO}| market for | APOS, S</t>
  </si>
  <si>
    <t>計算機電纜的插座 {全球}| 市場為 | APOS，S</t>
  </si>
  <si>
    <t>360~361, 364, 367, 3793, 30815</t>
    <phoneticPr fontId="1" type="noConversion"/>
  </si>
  <si>
    <t>Plug, inlet and outlet, for network cable {GLO}| market for | APOS, S</t>
    <phoneticPr fontId="1" type="noConversion"/>
  </si>
  <si>
    <t>網絡電纜的插座 {全球}| 市場為 | APOS，S</t>
  </si>
  <si>
    <t>Plug, inlet and outlet, for printer cable {GLO}| market for | APOS, S</t>
  </si>
  <si>
    <t>印表機電纜的插座 {全球}| 市場為 | APOS，S</t>
  </si>
  <si>
    <t>Polarizer, liquid crystals and colour filters, for liquid crystal display {GLO}| market for | APOS, S</t>
  </si>
  <si>
    <t>液晶顯示屏的偏光器、液晶和色彩過濾器 {全球}| 市場為 | APOS，S</t>
  </si>
  <si>
    <t>060</t>
    <phoneticPr fontId="1" type="noConversion"/>
  </si>
  <si>
    <t>Potentiometer, unspecified {GLO}| market for | APOS, S</t>
  </si>
  <si>
    <t>未指定的電位計 {全球}| 市場為 | APOS，S</t>
  </si>
  <si>
    <t>092</t>
    <phoneticPr fontId="1" type="noConversion"/>
  </si>
  <si>
    <t>Resistor, auxilliaries and energy use {GLO}| market for | APOS, S</t>
    <phoneticPr fontId="1" type="noConversion"/>
  </si>
  <si>
    <t>電阻器，輔助和能源使用 {全球}| 市場為 | APOS，S</t>
  </si>
  <si>
    <t>01,06</t>
    <phoneticPr fontId="1" type="noConversion"/>
  </si>
  <si>
    <t>Resistor, metal film type, through-hole mounting {GLO}| market for | APOS, S</t>
  </si>
  <si>
    <t>金屬薄膜型電阻器，插孔安裝 {全球}| 市場為 | APOS，S</t>
  </si>
  <si>
    <t>031~035,061,092</t>
    <phoneticPr fontId="1" type="noConversion"/>
  </si>
  <si>
    <t>Resistor, surface-mounted {GLO}| market for | APOS, S</t>
  </si>
  <si>
    <t>表面安裝電阻器 {全球}| 市場為 | APOS，S</t>
  </si>
  <si>
    <t>01.</t>
    <phoneticPr fontId="1" type="noConversion"/>
  </si>
  <si>
    <t>Resistor, wirewound, through-hole mounting {GLO}| market for | APOS, S</t>
  </si>
  <si>
    <t>線圈式電阻器，插孔安裝 {全球}| 市場為 | APOS，S</t>
  </si>
  <si>
    <t>RES WW</t>
    <phoneticPr fontId="1" type="noConversion"/>
  </si>
  <si>
    <t>281</t>
    <phoneticPr fontId="1" type="noConversion"/>
  </si>
  <si>
    <t>Transformer, high voltage use {GLO}| market for | APOS, S</t>
  </si>
  <si>
    <t>高壓使用的變壓器 {全球}| 市場為 | APOS，S</t>
  </si>
  <si>
    <t>Transformer, low voltage use {GLO}| market for | APOS, S</t>
  </si>
  <si>
    <t>低壓使用的變壓器 {全球}| 市場為 | APOS，S</t>
  </si>
  <si>
    <t>210</t>
    <phoneticPr fontId="1" type="noConversion"/>
  </si>
  <si>
    <t>Transistor, auxilliaries and energy use {GLO}| market for | APOS, S</t>
    <phoneticPr fontId="1" type="noConversion"/>
  </si>
  <si>
    <t>電晶體，輔助和能源使用 {全球}| 市場為 | APOS，S</t>
  </si>
  <si>
    <t>Transistor, surface-mounted {GLO}| market for | APOS, S</t>
  </si>
  <si>
    <t>表面安裝電晶體 {全球}| 市場為 | APOS，S</t>
  </si>
  <si>
    <t>Transistor, wired, big size, through-hole mounting {GLO}| market for | APOS, S</t>
    <phoneticPr fontId="1" type="noConversion"/>
  </si>
  <si>
    <t>大型尺寸的插孔安裝電晶體 {全球}| 市場為 | APOS，S</t>
  </si>
  <si>
    <t>Transistor, wired, small size, through-hole mounting {GLO}| market for | APOS, S</t>
  </si>
  <si>
    <t xml:space="preserve">小型尺寸的插孔安裝電晶體 {全球}| 市場為 | APOS， </t>
  </si>
  <si>
    <t>50599</t>
    <phoneticPr fontId="1" type="noConversion"/>
  </si>
  <si>
    <t>Ultraviolet lamp {GLO}| market for | APOS, S</t>
  </si>
  <si>
    <t>紫外線燈{GLO}|市場 |APOS，S</t>
    <phoneticPr fontId="1" type="noConversion"/>
  </si>
  <si>
    <t>Wafer, fabricated, for integrated circuit {GLO}| market for | APOS, S</t>
  </si>
  <si>
    <t>晶圓， 製造， 用於積體電路 {GLO}|市場 |APOS，S</t>
    <phoneticPr fontId="1" type="noConversion"/>
  </si>
  <si>
    <t>Battery cell, Li-ion {GLO}| market for | APOS, S</t>
    <phoneticPr fontId="1" type="noConversion"/>
  </si>
  <si>
    <t>鋰離子電池</t>
    <phoneticPr fontId="1" type="noConversion"/>
  </si>
  <si>
    <t>電阻器，表面貼裝 {GLO}|市場 |APOS，S</t>
    <phoneticPr fontId="1" type="noConversion"/>
  </si>
  <si>
    <t>計算單位</t>
    <phoneticPr fontId="1" type="noConversion"/>
  </si>
  <si>
    <t>Polyethylene terephthalate, granulate, amorphous {GLO}| market for | APOS, S
Printing ink, offset, without solvent, in 47.5% solution state {RoW}| market for printing ink, offset, without solvent, in 47.5% solution state | APOS, S</t>
    <phoneticPr fontId="1" type="noConversion"/>
  </si>
  <si>
    <t>***組合係數***
聚對苯二甲酸乙二酯，顆粒，無定形 
膠印油墨，不含溶劑，47.5% 溶液狀態</t>
    <phoneticPr fontId="1" type="noConversion"/>
  </si>
  <si>
    <t>Simapro9.3組合</t>
    <phoneticPr fontId="1" type="noConversion"/>
  </si>
  <si>
    <t>3269836100
3263992200</t>
    <phoneticPr fontId="1" type="noConversion"/>
  </si>
  <si>
    <t>貼紙(PET+油墨)，標籤，BLANK LABEL</t>
    <phoneticPr fontId="1" type="noConversion"/>
  </si>
  <si>
    <t>Paper, woodfree, coated {RER}| market for | APOS, U
Printing ink, offset, without solvent, in 47.5% solution state {RoW}| market for printing ink, offset, without solvent, in 47.5% solution state | APOS, S</t>
    <phoneticPr fontId="1" type="noConversion"/>
  </si>
  <si>
    <t>***組合係數***
紙，無木漿，塗層
膠印油墨，不含溶劑，47.5% 溶液狀態</t>
    <phoneticPr fontId="1" type="noConversion"/>
  </si>
  <si>
    <t>貼紙(paper+油墨)，標籤，BLANK LABEL</t>
    <phoneticPr fontId="1" type="noConversion"/>
  </si>
  <si>
    <t>Containerboard, fluting medium {RoW}| market for containerboard, fluting medium | APOS, S</t>
    <phoneticPr fontId="1" type="noConversion"/>
  </si>
  <si>
    <t>箱板紙、瓦楞紙</t>
    <phoneticPr fontId="1" type="noConversion"/>
  </si>
  <si>
    <t>Core board {GLO}| market for | APOS, S</t>
    <phoneticPr fontId="1" type="noConversion"/>
  </si>
  <si>
    <t>核心板</t>
    <phoneticPr fontId="1" type="noConversion"/>
  </si>
  <si>
    <t>一般紙板，角板，Corner Board</t>
    <phoneticPr fontId="1" type="noConversion"/>
  </si>
  <si>
    <t>Containerboard, fluting medium {RER}| market for containerboard, fluting medium | APOS, U</t>
    <phoneticPr fontId="1" type="noConversion"/>
  </si>
  <si>
    <t>Tissue paper {GLO}| market for | APOS, S</t>
    <phoneticPr fontId="1" type="noConversion"/>
  </si>
  <si>
    <t>衛生紙</t>
    <phoneticPr fontId="1" type="noConversion"/>
  </si>
  <si>
    <t>衛生紙，WIPE TISSUE</t>
    <phoneticPr fontId="1" type="noConversion"/>
  </si>
  <si>
    <t>320, 326</t>
    <phoneticPr fontId="1" type="noConversion"/>
  </si>
  <si>
    <t>Paper, woodfree, coated {RER}| market for | APOS, U</t>
    <phoneticPr fontId="1" type="noConversion"/>
  </si>
  <si>
    <t>紙，無木漿，塗層</t>
    <phoneticPr fontId="1" type="noConversion"/>
  </si>
  <si>
    <t>kgCO2p</t>
    <phoneticPr fontId="1" type="noConversion"/>
  </si>
  <si>
    <t>EUR-flat pallet {RER}| market for EUR-flat pallet | APOS, S</t>
    <phoneticPr fontId="1" type="noConversion"/>
  </si>
  <si>
    <t>EUR-平托盤</t>
    <phoneticPr fontId="1" type="noConversion"/>
  </si>
  <si>
    <t>pce</t>
    <phoneticPr fontId="1" type="noConversion"/>
  </si>
  <si>
    <t>Solder, bar, Sn95.5Ag3.9Cu0.6, for electronics industry {GLO}| market for | APOS, S</t>
    <phoneticPr fontId="1" type="noConversion"/>
  </si>
  <si>
    <t>焊料，條，Sn95.5Ag3.9Cu0.6，用於電子工業</t>
    <phoneticPr fontId="1" type="noConversion"/>
  </si>
  <si>
    <t>錫棒，Solder bar</t>
    <phoneticPr fontId="1" type="noConversion"/>
  </si>
  <si>
    <t>Soft solder, sn97cu3 {RER}| market for soft solder, Sn97Cu3 | APOS, S</t>
    <phoneticPr fontId="1" type="noConversion"/>
  </si>
  <si>
    <t>軟焊料，sn97cu3</t>
    <phoneticPr fontId="1" type="noConversion"/>
  </si>
  <si>
    <t>錫絲，Solder wire</t>
    <phoneticPr fontId="1" type="noConversion"/>
  </si>
  <si>
    <t>Solder, paste, Sn95.5Ag3.9Cu0.6, for electronics industry {GLO}| market for | APOS, S</t>
    <phoneticPr fontId="1" type="noConversion"/>
  </si>
  <si>
    <t>焊錫膏，Sn95.5Ag3.9Cu0.6，用於電子工業</t>
    <phoneticPr fontId="1" type="noConversion"/>
  </si>
  <si>
    <t>錫膏，SOLDER Paste</t>
    <phoneticPr fontId="1" type="noConversion"/>
  </si>
  <si>
    <t>Solder, paste, Sn63Pb37, for electronics industry {GLO}| market for | APOS, S</t>
    <phoneticPr fontId="1" type="noConversion"/>
  </si>
  <si>
    <t>焊錫膏，Sn63Pb37，用於電子工業</t>
    <phoneticPr fontId="1" type="noConversion"/>
  </si>
  <si>
    <t>Chemical, organic {GLO}| market for | APOS, S</t>
    <phoneticPr fontId="1" type="noConversion"/>
  </si>
  <si>
    <t>化學、有機</t>
    <phoneticPr fontId="1" type="noConversion"/>
  </si>
  <si>
    <t>液体助焊剂，CHEMICAL-solder flux</t>
    <phoneticPr fontId="1" type="noConversion"/>
  </si>
  <si>
    <t>kgCO2/kg</t>
  </si>
  <si>
    <r>
      <rPr>
        <sz val="12"/>
        <color theme="1"/>
        <rFont val="新細明體"/>
        <family val="1"/>
        <charset val="136"/>
      </rPr>
      <t>液化石油氣（未燃燒，韓國，</t>
    </r>
    <r>
      <rPr>
        <sz val="12"/>
        <color theme="1"/>
        <rFont val="Times New Roman"/>
        <family val="1"/>
      </rPr>
      <t>2006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產品碳足跡資訊網</t>
    </r>
    <r>
      <rPr>
        <sz val="12"/>
        <color theme="1"/>
        <rFont val="Times New Roman"/>
        <family val="1"/>
      </rPr>
      <t>)</t>
    </r>
    <phoneticPr fontId="6" type="noConversion"/>
  </si>
  <si>
    <t>OIL LUBRICANT CLEAR 337(S-16P) XEON,(丁烷成分高)</t>
    <phoneticPr fontId="1" type="noConversion"/>
  </si>
  <si>
    <t>kgCO2e</t>
  </si>
  <si>
    <t>Isopropyl acetate {RER}| market for isopropyl acetate | APOS, S</t>
    <phoneticPr fontId="3" type="noConversion"/>
  </si>
  <si>
    <t>乙酸異丙酯</t>
    <phoneticPr fontId="1" type="noConversion"/>
  </si>
  <si>
    <t>助銲劑，FLUX ROL0 CLEAR AGP4930 EUNOW</t>
    <phoneticPr fontId="1" type="noConversion"/>
  </si>
  <si>
    <t>Epoxy resin, liquid {RER}| market for epoxy resin, liquid | APOS, S</t>
    <phoneticPr fontId="1" type="noConversion"/>
  </si>
  <si>
    <t>Epoxy</t>
    <phoneticPr fontId="1" type="noConversion"/>
  </si>
  <si>
    <t>4020160000</t>
  </si>
  <si>
    <r>
      <t xml:space="preserve">ADHESIVE EPOXY .A 膠B膠 </t>
    </r>
    <r>
      <rPr>
        <sz val="12"/>
        <color rgb="FFFF0000"/>
        <rFont val="微軟正黑體"/>
        <family val="2"/>
        <charset val="136"/>
      </rPr>
      <t>黏著劑參考使用</t>
    </r>
    <phoneticPr fontId="1" type="noConversion"/>
  </si>
  <si>
    <t>Acrylic filler {RER}| market for acrylic filler | APOS, S</t>
    <phoneticPr fontId="1" type="noConversion"/>
  </si>
  <si>
    <t>壓克力</t>
    <phoneticPr fontId="1" type="noConversion"/>
  </si>
  <si>
    <t>ADHESIVE</t>
    <phoneticPr fontId="1" type="noConversion"/>
  </si>
  <si>
    <t>Silicone product {RER}| market for silicone product | APOS, S</t>
    <phoneticPr fontId="1" type="noConversion"/>
  </si>
  <si>
    <t>矽利康，Silicone</t>
    <phoneticPr fontId="1" type="noConversion"/>
  </si>
  <si>
    <t>缺</t>
    <phoneticPr fontId="1" type="noConversion"/>
  </si>
  <si>
    <t>TALC 滑石</t>
    <phoneticPr fontId="1" type="noConversion"/>
  </si>
  <si>
    <t>Printing ink, offset, without solvent, in 47.5% solution state {GLO}| market for | APOS, S</t>
    <phoneticPr fontId="1" type="noConversion"/>
  </si>
  <si>
    <t>膠印油墨，不含溶劑，47.5% 溶液狀態</t>
    <phoneticPr fontId="1" type="noConversion"/>
  </si>
  <si>
    <t>Ink、OPP，油墨，不含溶劑，MASKING TAPES</t>
    <phoneticPr fontId="1" type="noConversion"/>
  </si>
  <si>
    <t>Metal working, average for metal product manufacturing {GLO}| market for | APOS, S</t>
    <phoneticPr fontId="1" type="noConversion"/>
  </si>
  <si>
    <t>金屬加工</t>
    <phoneticPr fontId="1" type="noConversion"/>
  </si>
  <si>
    <t>金屬加工，金屬製品製造的平均值</t>
    <phoneticPr fontId="1" type="noConversion"/>
  </si>
  <si>
    <t>346,404,</t>
    <phoneticPr fontId="1" type="noConversion"/>
  </si>
  <si>
    <t>Steel, chromium steel 18/8 {GLO}| market for | APOS, U</t>
    <phoneticPr fontId="1" type="noConversion"/>
  </si>
  <si>
    <t>不鏽鋼，SUS 304</t>
    <phoneticPr fontId="1" type="noConversion"/>
  </si>
  <si>
    <t>鉻鋼，chrome</t>
    <phoneticPr fontId="1" type="noConversion"/>
  </si>
  <si>
    <t>Steel, chromium steel 18/8 {GLO}| market for | APOS, U
Metal working, average for metal product manufacturing {GLO}| market for | APOS, S</t>
    <phoneticPr fontId="1" type="noConversion"/>
  </si>
  <si>
    <t>組合</t>
    <phoneticPr fontId="1" type="noConversion"/>
  </si>
  <si>
    <t>FASTENER SK5 +金屬加工</t>
    <phoneticPr fontId="1" type="noConversion"/>
  </si>
  <si>
    <t>311, 342, 404</t>
    <phoneticPr fontId="1" type="noConversion"/>
  </si>
  <si>
    <t>Steel electrogalvanised steel/Asia</t>
    <phoneticPr fontId="1" type="noConversion"/>
  </si>
  <si>
    <t>SECC(鍍鋅鋼)</t>
    <phoneticPr fontId="1" type="noConversion"/>
  </si>
  <si>
    <t>本土用基礎原物料碳足跡排放係數(https://www.idbcfp.org.tw/ViewData.aspx?nnid=229)</t>
    <phoneticPr fontId="1" type="noConversion"/>
  </si>
  <si>
    <t>不鏽鋼，SPCC（冷軋板），SPHC（熱軋板），SECC（電鍍鋅板），SGCC（熱浸鍍鋅板），SPTE（鍍錫鋼板，俗稱馬口鐵）</t>
    <phoneticPr fontId="1" type="noConversion"/>
  </si>
  <si>
    <t>不鏽鋼SUS 304</t>
    <phoneticPr fontId="1" type="noConversion"/>
  </si>
  <si>
    <t>334, 345~346</t>
    <phoneticPr fontId="1" type="noConversion"/>
  </si>
  <si>
    <t>Aluminium alloy, metal matrix composite {GLO}| market for | APOS, U</t>
    <phoneticPr fontId="1" type="noConversion"/>
  </si>
  <si>
    <t>Aluminium alloy</t>
    <phoneticPr fontId="1" type="noConversion"/>
  </si>
  <si>
    <t>鋁合金</t>
    <phoneticPr fontId="1" type="noConversion"/>
  </si>
  <si>
    <r>
      <t>kgCO</t>
    </r>
    <r>
      <rPr>
        <sz val="12"/>
        <color rgb="FF181818"/>
        <rFont val="Verdana"/>
        <family val="2"/>
      </rPr>
      <t>₂</t>
    </r>
    <r>
      <rPr>
        <sz val="12"/>
        <color rgb="FF181818"/>
        <rFont val="微軟正黑體"/>
        <family val="2"/>
        <charset val="136"/>
      </rPr>
      <t>e</t>
    </r>
  </si>
  <si>
    <t>鋁錠</t>
    <phoneticPr fontId="1" type="noConversion"/>
  </si>
  <si>
    <t>碳足跡資訊網</t>
    <phoneticPr fontId="1" type="noConversion"/>
  </si>
  <si>
    <t>鰭片散熱器，HSK</t>
    <phoneticPr fontId="1" type="noConversion"/>
  </si>
  <si>
    <t>IRON/Fe</t>
    <phoneticPr fontId="1" type="noConversion"/>
  </si>
  <si>
    <t>產品碳足跡資訊網</t>
    <phoneticPr fontId="1" type="noConversion"/>
  </si>
  <si>
    <t>HSK</t>
    <phoneticPr fontId="1" type="noConversion"/>
  </si>
  <si>
    <t>Brass , {GLO}| market for | Alloc Def, U</t>
    <phoneticPr fontId="1" type="noConversion"/>
  </si>
  <si>
    <t>黃銅</t>
    <phoneticPr fontId="1" type="noConversion"/>
  </si>
  <si>
    <t>黃銅，全球製造資料，A</t>
    <phoneticPr fontId="1" type="noConversion"/>
  </si>
  <si>
    <t>螺絲(不含球化、表面皮膜處理與電鍍)</t>
    <phoneticPr fontId="1" type="noConversion"/>
  </si>
  <si>
    <t>3109306200M</t>
  </si>
  <si>
    <t>螺絲(含球化與表面皮膜處理及電鍍)</t>
    <phoneticPr fontId="1" type="noConversion"/>
  </si>
  <si>
    <t>Permanent magnet, for electric motor {GLO}| market for permanent magnet, electric passenger car motor | APOS, U</t>
    <phoneticPr fontId="6" type="noConversion"/>
  </si>
  <si>
    <t>產品碳足跡資訊網 組合</t>
    <phoneticPr fontId="1" type="noConversion"/>
  </si>
  <si>
    <t>Acrylonitrile-butadiene-styrene copolymer {GLO}| market for | APOS, S</t>
    <phoneticPr fontId="1" type="noConversion"/>
  </si>
  <si>
    <t>丙烯腈-丁二烯-苯乙烯共聚物</t>
    <phoneticPr fontId="1" type="noConversion"/>
  </si>
  <si>
    <t>Polybutadiene {GLO}| market for | APOS, S</t>
    <phoneticPr fontId="1" type="noConversion"/>
  </si>
  <si>
    <t>聚丁二烯</t>
    <phoneticPr fontId="1" type="noConversion"/>
  </si>
  <si>
    <t>Styrene-acrylonitrile copolymer {GLO}| market for | APOS, S</t>
    <phoneticPr fontId="1" type="noConversion"/>
  </si>
  <si>
    <t>苯乙烯-丙烯腈共聚物</t>
    <phoneticPr fontId="1" type="noConversion"/>
  </si>
  <si>
    <t>324, 347</t>
    <phoneticPr fontId="1" type="noConversion"/>
  </si>
  <si>
    <t>Synthetic rubber {GLO}| market for | APOS, S</t>
    <phoneticPr fontId="1" type="noConversion"/>
  </si>
  <si>
    <t>合成橡膠</t>
    <phoneticPr fontId="1" type="noConversion"/>
  </si>
  <si>
    <t>Polycarbonate {GLO}| market for | APOS, S
Injection moulding {GLO}| market for | APOS, S</t>
    <phoneticPr fontId="1" type="noConversion"/>
  </si>
  <si>
    <t>***組合係數*** PC+Injecton</t>
    <phoneticPr fontId="1" type="noConversion"/>
  </si>
  <si>
    <t>PAD PEEK</t>
    <phoneticPr fontId="1" type="noConversion"/>
  </si>
  <si>
    <t>Carbon fibre reinforced plastic, injection moulded {GLO}| market for carbon fibre reinforced plastic, injection moulded | APOS, S</t>
    <phoneticPr fontId="1" type="noConversion"/>
  </si>
  <si>
    <t>碳纖維增強塑料，注塑成型</t>
  </si>
  <si>
    <t>Ethylene vinyl acetate copolymer {RER}| market for ethylene vinyl acetate copolymer | APOS, S</t>
    <phoneticPr fontId="1" type="noConversion"/>
  </si>
  <si>
    <t>EVA, 乙烯醋酸乙烯酯共聚物</t>
    <phoneticPr fontId="1" type="noConversion"/>
  </si>
  <si>
    <t>Ethylene vinyl acetate copolymer {RoW}| market for ethylene vinyl acetate copolymer | APOS, S</t>
    <phoneticPr fontId="1" type="noConversion"/>
  </si>
  <si>
    <t>Ethylvinylacetate, foil {GLO}| market for | APOS, S</t>
    <phoneticPr fontId="1" type="noConversion"/>
  </si>
  <si>
    <t>EVA, 乙基乙烯基醋酸酯，箔</t>
    <phoneticPr fontId="1" type="noConversion"/>
  </si>
  <si>
    <t>Fleece, polyethylene {GLO}| market for | APOS, S</t>
    <phoneticPr fontId="1" type="noConversion"/>
  </si>
  <si>
    <t>羊毛、聚乙烯</t>
    <phoneticPr fontId="1" type="noConversion"/>
  </si>
  <si>
    <t>Glass fibre reinforced plastic, polyamide, injection moulded {GLO}| market for | APOS, S</t>
    <phoneticPr fontId="1" type="noConversion"/>
  </si>
  <si>
    <t>玻璃纖維增強塑料，聚醯胺，注塑</t>
    <phoneticPr fontId="1" type="noConversion"/>
  </si>
  <si>
    <t>350,352, 501</t>
    <phoneticPr fontId="1" type="noConversion"/>
  </si>
  <si>
    <t>Packaging film, low density polyethylene {GLO}| market for | APOS, S</t>
    <phoneticPr fontId="1" type="noConversion"/>
  </si>
  <si>
    <t>LDPE, EPE, 包裝膜，低密度聚乙烯</t>
    <phoneticPr fontId="1" type="noConversion"/>
  </si>
  <si>
    <t>3520082400
3502149000</t>
    <phoneticPr fontId="1" type="noConversion"/>
  </si>
  <si>
    <t>320, 326, 339</t>
    <phoneticPr fontId="1" type="noConversion"/>
  </si>
  <si>
    <t>Polycarbonate {GLO}| market for | APOS, S</t>
    <phoneticPr fontId="1" type="noConversion"/>
  </si>
  <si>
    <t>PC，聚碳酸酯</t>
    <phoneticPr fontId="1" type="noConversion"/>
  </si>
  <si>
    <t>Polyethylene, high density, granulate {GLO}| market for | APOS, S</t>
    <phoneticPr fontId="1" type="noConversion"/>
  </si>
  <si>
    <t>HDPE 塑膠粒 (發泡袋)</t>
    <phoneticPr fontId="1" type="noConversion"/>
  </si>
  <si>
    <t>Polyethylene, low density, granulate {GLO}| market for | APOS, S</t>
    <phoneticPr fontId="1" type="noConversion"/>
  </si>
  <si>
    <t>LDPE 塑膠粒(發泡袋 (比較多))</t>
    <phoneticPr fontId="1" type="noConversion"/>
  </si>
  <si>
    <t>Polymethyl methacrylate, beads {GLO}| market for | APOS, S</t>
    <phoneticPr fontId="1" type="noConversion"/>
  </si>
  <si>
    <t>PMMA，壓克力</t>
    <phoneticPr fontId="1" type="noConversion"/>
  </si>
  <si>
    <t>Polypropylene, granulate {GLO}| market for | APOS, S</t>
    <phoneticPr fontId="1" type="noConversion"/>
  </si>
  <si>
    <t>PP，聚丙烯塑膠粒</t>
    <phoneticPr fontId="1" type="noConversion"/>
  </si>
  <si>
    <t>Polystyrene, expandable {GLO}| market for | APOS, S</t>
    <phoneticPr fontId="1" type="noConversion"/>
  </si>
  <si>
    <t>EPS 聚苯乙烯 泡棉</t>
    <phoneticPr fontId="1" type="noConversion"/>
  </si>
  <si>
    <t>Polyvinylchloride, bulk polymerised {GLO}| market for | APOS, S</t>
    <phoneticPr fontId="1" type="noConversion"/>
  </si>
  <si>
    <t>PVC，聚氯乙烯</t>
    <phoneticPr fontId="1" type="noConversion"/>
  </si>
  <si>
    <t>Tetrafluoroethylene {GLO}| market for | APOS, S</t>
    <phoneticPr fontId="1" type="noConversion"/>
  </si>
  <si>
    <t>TFE，四氟乙烯</t>
    <phoneticPr fontId="1" type="noConversion"/>
  </si>
  <si>
    <t>Polyethylene terephthalate, granulate, amorphous {GLO}| market for | APOS, S</t>
    <phoneticPr fontId="1" type="noConversion"/>
  </si>
  <si>
    <t>PET.PBT 塑膠粒</t>
    <phoneticPr fontId="1" type="noConversion"/>
  </si>
  <si>
    <t>Polyurethane, flexible foam {GLO}| market for | APOS, S</t>
    <phoneticPr fontId="1" type="noConversion"/>
  </si>
  <si>
    <t>PU 泡棉</t>
    <phoneticPr fontId="1" type="noConversion"/>
  </si>
  <si>
    <t>Injection moulding {GLO}| market for | APOS, S</t>
    <phoneticPr fontId="1" type="noConversion"/>
  </si>
  <si>
    <t>射出成形，加工動作</t>
    <phoneticPr fontId="1" type="noConversion"/>
  </si>
  <si>
    <t>Glass fibre {GLO}| market for | APOS, S</t>
    <phoneticPr fontId="1" type="noConversion"/>
  </si>
  <si>
    <t>玻璃纖維</t>
    <phoneticPr fontId="1" type="noConversion"/>
  </si>
  <si>
    <t>402, 335</t>
    <phoneticPr fontId="1" type="noConversion"/>
  </si>
  <si>
    <t>Nylon 6-6 {RER}| market for nylon 6-6 | APOS, U</t>
    <phoneticPr fontId="1" type="noConversion"/>
  </si>
  <si>
    <t>PA66/Polyamide 66</t>
    <phoneticPr fontId="1" type="noConversion"/>
  </si>
  <si>
    <t>Polyamide (Nylon) 6/EU-27</t>
    <phoneticPr fontId="1" type="noConversion"/>
  </si>
  <si>
    <t>PA</t>
    <phoneticPr fontId="1" type="noConversion"/>
  </si>
  <si>
    <t>Polyurethane adhesive {GLO}| market for polyurethane adhesive | APOS, S</t>
    <phoneticPr fontId="1" type="noConversion"/>
  </si>
  <si>
    <t>epoxy，膠類，聚氨酯膠黏劑</t>
    <phoneticPr fontId="1" type="noConversion"/>
  </si>
  <si>
    <t>Sponge pe</t>
    <phoneticPr fontId="1" type="noConversion"/>
  </si>
  <si>
    <t>Polyester resin, unsaturated {RER}| market for polyester resin, unsaturated | APOS, S</t>
    <phoneticPr fontId="1" type="noConversion"/>
  </si>
  <si>
    <t>聚對苯二甲酸乙二酯 （英語： polyethylene terephthalate ，簡稱PET或PETE）</t>
    <phoneticPr fontId="1" type="noConversion"/>
  </si>
  <si>
    <t>TPE</t>
    <phoneticPr fontId="1" type="noConversion"/>
  </si>
  <si>
    <t>TPE_熱可塑性橡膠</t>
    <phoneticPr fontId="1" type="noConversion"/>
  </si>
  <si>
    <t>產品碳足跡網</t>
    <phoneticPr fontId="1" type="noConversion"/>
  </si>
  <si>
    <t>PPE ??</t>
    <phoneticPr fontId="1" type="noConversion"/>
  </si>
  <si>
    <t>聚氧二甲苯（polyphenylene oxide，PPO）也稱為聚苯醚（polyphenylene ether，PPE），其商品名為NORYL</t>
    <phoneticPr fontId="1" type="noConversion"/>
  </si>
  <si>
    <t>Cable, connector for computer, without plugs {GLO}| market for | APOS, S</t>
  </si>
  <si>
    <t>用於電腦的無插頭連接線 {全球}| 市場為 | APOS，S</t>
  </si>
  <si>
    <t>m</t>
    <phoneticPr fontId="1" type="noConversion"/>
  </si>
  <si>
    <t>Cable, data cable in infrastructure {GLO}| market for | APOS, S</t>
  </si>
  <si>
    <t xml:space="preserve"> 基礎設施中的數據電纜 {全球}| 市場為 | APOS，S</t>
  </si>
  <si>
    <t>Cable, network cable, category 5, without plugs {GLO}| market for | APOS, S</t>
  </si>
  <si>
    <t>網絡電纜，5級，無插頭 {全球}| 市場為 | APOS，S</t>
  </si>
  <si>
    <t>Cable, printer cable, without plugs {GLO}| market for | APOS, S</t>
  </si>
  <si>
    <t>印表機電纜，無插頭 {全球}| 市場為 | APOS，S</t>
  </si>
  <si>
    <t>Cable, ribbon cable, 20-pin, with plugs {GLO}| market for | APOS, S</t>
  </si>
  <si>
    <t>帶插頭的平行電纜，20針 {全球}| 市場為 | APOS，S</t>
  </si>
  <si>
    <t>Cable, three-conductor cable {GLO}| market for | APOS, S</t>
  </si>
  <si>
    <t>三芯電纜 {全球}| 市場為 | APOS，S</t>
  </si>
  <si>
    <t>Cable, unspecified {GLO}| market for | APOS, S</t>
  </si>
  <si>
    <t>未指明的電纜 {全球}| 市場為 | APOS，S</t>
  </si>
  <si>
    <t>307</t>
    <phoneticPr fontId="1" type="noConversion"/>
  </si>
  <si>
    <t>Electric connector, peripheral component interconnect buss {GLO}| market for | APOS, S</t>
  </si>
  <si>
    <t>電腦電纜的外部連接器 {全球}| 市場為 | APOS，S</t>
  </si>
  <si>
    <t>Electric connector, peripheral type buss {GLO}| market for | APOS, S</t>
  </si>
  <si>
    <t>外部類型線連接器 {全球}| 市場為 | APOS，S</t>
  </si>
  <si>
    <t>302, 307</t>
    <phoneticPr fontId="1" type="noConversion"/>
  </si>
  <si>
    <t>Electric connector, wire clamp {GLO}| market for | APOS, S</t>
  </si>
  <si>
    <t>電纜夾線器 {全球}| 市場為 | APOS，S</t>
  </si>
  <si>
    <t>300</t>
    <phoneticPr fontId="1" type="noConversion"/>
  </si>
  <si>
    <t>Switch, toggle type {GLO}| market for | APOS, S</t>
  </si>
  <si>
    <r>
      <t xml:space="preserve">切換型開關 </t>
    </r>
    <r>
      <rPr>
        <sz val="12"/>
        <color rgb="FF000000"/>
        <rFont val="Arial"/>
        <family val="2"/>
      </rPr>
      <t>{</t>
    </r>
    <r>
      <rPr>
        <sz val="12"/>
        <color rgb="FF000000"/>
        <rFont val="微軟正黑體"/>
        <family val="2"/>
        <charset val="136"/>
      </rPr>
      <t>全球</t>
    </r>
    <r>
      <rPr>
        <sz val="12"/>
        <color rgb="FF000000"/>
        <rFont val="Arial"/>
        <family val="2"/>
      </rPr>
      <t xml:space="preserve">}| </t>
    </r>
    <r>
      <rPr>
        <sz val="12"/>
        <color rgb="FF000000"/>
        <rFont val="微軟正黑體"/>
        <family val="2"/>
        <charset val="136"/>
      </rPr>
      <t xml:space="preserve">市場為 </t>
    </r>
    <r>
      <rPr>
        <sz val="12"/>
        <color rgb="FF000000"/>
        <rFont val="Arial"/>
        <family val="2"/>
      </rPr>
      <t>| APOS</t>
    </r>
    <r>
      <rPr>
        <sz val="12"/>
        <color rgb="FF000000"/>
        <rFont val="微軟正黑體"/>
        <family val="2"/>
        <charset val="136"/>
      </rPr>
      <t>，</t>
    </r>
    <r>
      <rPr>
        <sz val="12"/>
        <color rgb="FF000000"/>
        <rFont val="Arial"/>
        <family val="2"/>
      </rPr>
      <t>S</t>
    </r>
  </si>
  <si>
    <t>KgCO2/Kg</t>
  </si>
  <si>
    <t>Polypropylene, granulate {GLO}| market for | APOS, S
Injection moulding {GLO}| market for | APOS, S</t>
    <phoneticPr fontId="3" type="noConversion"/>
  </si>
  <si>
    <t>***組合係數***
PP(聚丙烯塑膠粒)+塑膠加工</t>
    <phoneticPr fontId="1" type="noConversion"/>
  </si>
  <si>
    <r>
      <rPr>
        <sz val="12"/>
        <color theme="1"/>
        <rFont val="新細明體"/>
        <family val="2"/>
        <charset val="136"/>
      </rPr>
      <t>產品碳足跡資訊網,</t>
    </r>
    <r>
      <rPr>
        <sz val="12"/>
        <color theme="1"/>
        <rFont val="Arial"/>
        <family val="2"/>
      </rPr>
      <t>IRON
Metal working, average for metal product manufacturing {GLO}| market for | APOS, S</t>
    </r>
    <phoneticPr fontId="6" type="noConversion"/>
  </si>
  <si>
    <t>***組合係數***
鐵+金屬加工</t>
    <phoneticPr fontId="1" type="noConversion"/>
  </si>
  <si>
    <t>產品碳足跡資訊網+simapro 9.3 組合</t>
    <phoneticPr fontId="1" type="noConversion"/>
  </si>
  <si>
    <t>wire cp</t>
    <phoneticPr fontId="1" type="noConversion"/>
  </si>
  <si>
    <t>產品碳足跡資訊網,矽酸鈉</t>
    <phoneticPr fontId="1" type="noConversion"/>
  </si>
  <si>
    <t>矽酸鈉</t>
  </si>
  <si>
    <t>DRYER CLAY 防潮劑</t>
    <phoneticPr fontId="1" type="noConversion"/>
  </si>
  <si>
    <t>Brass , {GLO}| market for | Alloc Def, U
Metal working, average for metal product manufacturing {GLO}| market for | APOS, S</t>
    <phoneticPr fontId="6" type="noConversion"/>
  </si>
  <si>
    <t>***組合係數***
銅+金屬加工</t>
    <phoneticPr fontId="1" type="noConversion"/>
  </si>
  <si>
    <t>Wire CU</t>
    <phoneticPr fontId="1" type="noConversion"/>
  </si>
  <si>
    <t>Polyethylene terephthalate, granulate, amorphous {GLO}| market for | APOS, S
Glass fibre {GLO}| market for | APOS, S
Injection moulding {GLO}| market for | APOS, S</t>
    <phoneticPr fontId="6" type="noConversion"/>
  </si>
  <si>
    <t>***組合係數***
PBT 70%+GF 30%+塑膠加工</t>
    <phoneticPr fontId="1" type="noConversion"/>
  </si>
  <si>
    <t>4020303718</t>
  </si>
  <si>
    <t>PBT 70%+GF 30%+塑膠加工</t>
    <phoneticPr fontId="1" type="noConversion"/>
  </si>
  <si>
    <t>Polyethylene, low density, granulate {GLO}| market for | APOS, S
Injection moulding {GLO}| market for | APOS, S</t>
    <phoneticPr fontId="2" type="noConversion"/>
  </si>
  <si>
    <t>***組合係數***
PE 氣泡袋</t>
    <phoneticPr fontId="1" type="noConversion"/>
  </si>
  <si>
    <t>3522008500</t>
  </si>
  <si>
    <t>***組合係數***
COPPER+金屬加工</t>
    <phoneticPr fontId="1" type="noConversion"/>
  </si>
  <si>
    <t>3353184500M</t>
    <phoneticPr fontId="6" type="noConversion"/>
  </si>
  <si>
    <t xml:space="preserve">TERMINAL COPPER
</t>
    <phoneticPr fontId="1" type="noConversion"/>
  </si>
  <si>
    <t>KgCO2/Kg</t>
    <phoneticPr fontId="6" type="noConversion"/>
  </si>
  <si>
    <t>Steel electrogalvanised steel/Asia
Metal working, average for metal product manufacturing {GLO}| market for | APOS, S</t>
    <phoneticPr fontId="3" type="noConversion"/>
  </si>
  <si>
    <t>***組合係數***
不鏽鋼+金屬加工</t>
    <phoneticPr fontId="1" type="noConversion"/>
  </si>
  <si>
    <t>3352139000M</t>
  </si>
  <si>
    <t xml:space="preserve">TERMINAL STEEL </t>
  </si>
  <si>
    <t>4040315600</t>
  </si>
  <si>
    <t>丙烯酸羟丙酯 (HPA)</t>
  </si>
  <si>
    <t>產品碳足跡資訊網, 甲基丙烯酸甲酯</t>
    <phoneticPr fontId="1" type="noConversion"/>
  </si>
  <si>
    <t>甲基丙烯酸甲酯</t>
  </si>
  <si>
    <t>有機化學</t>
    <phoneticPr fontId="1" type="noConversion"/>
  </si>
  <si>
    <t>4020522800
4020525100</t>
    <phoneticPr fontId="1" type="noConversion"/>
  </si>
  <si>
    <t>OIL COATING,PERFLUORO- SOLVENT</t>
    <phoneticPr fontId="1" type="noConversion"/>
  </si>
  <si>
    <t>Polyurethane adhesive {GLO}| market for polyurethane adhesive | APOS, S</t>
    <phoneticPr fontId="3" type="noConversion"/>
  </si>
  <si>
    <t>4024041300
4020135600</t>
    <phoneticPr fontId="1" type="noConversion"/>
  </si>
  <si>
    <t>ADHESIVE RESIN,LOCTITE 黏著劑</t>
    <phoneticPr fontId="1" type="noConversion"/>
  </si>
  <si>
    <t>Fan, for power supply unit, desktop computer {GLO}| market for | APOS, U</t>
    <phoneticPr fontId="1" type="noConversion"/>
  </si>
  <si>
    <t>風扇係數</t>
    <phoneticPr fontId="1" type="noConversion"/>
  </si>
  <si>
    <r>
      <t xml:space="preserve">Simapro </t>
    </r>
    <r>
      <rPr>
        <b/>
        <sz val="12"/>
        <color theme="1"/>
        <rFont val="微軟正黑體"/>
        <family val="2"/>
        <charset val="136"/>
      </rPr>
      <t>參考係數值</t>
    </r>
    <phoneticPr fontId="1" type="noConversion"/>
  </si>
  <si>
    <t>金發_PBT-NPG30</t>
    <phoneticPr fontId="1" type="noConversion"/>
  </si>
  <si>
    <r>
      <rPr>
        <sz val="10"/>
        <color rgb="FF000000"/>
        <rFont val="微軟正黑體"/>
        <family val="2"/>
        <charset val="136"/>
      </rPr>
      <t>塑膠粒</t>
    </r>
    <r>
      <rPr>
        <sz val="10"/>
        <color rgb="FF000000"/>
        <rFont val="Arial"/>
        <family val="2"/>
      </rPr>
      <t xml:space="preserve"> PBT</t>
    </r>
    <phoneticPr fontId="1" type="noConversion"/>
  </si>
  <si>
    <t>supplier</t>
    <phoneticPr fontId="1" type="noConversion"/>
  </si>
  <si>
    <r>
      <rPr>
        <sz val="12"/>
        <color theme="1"/>
        <rFont val="微軟正黑體"/>
        <family val="2"/>
        <charset val="136"/>
      </rPr>
      <t>金發提供有第三方認證</t>
    </r>
    <r>
      <rPr>
        <sz val="12"/>
        <color theme="1"/>
        <rFont val="Arial"/>
        <family val="2"/>
      </rPr>
      <t>(</t>
    </r>
    <r>
      <rPr>
        <sz val="12"/>
        <color theme="1"/>
        <rFont val="微軟正黑體"/>
        <family val="2"/>
        <charset val="136"/>
      </rPr>
      <t>中國認證機構</t>
    </r>
    <r>
      <rPr>
        <sz val="12"/>
        <color theme="1"/>
        <rFont val="Arial"/>
        <family val="2"/>
      </rPr>
      <t>)</t>
    </r>
    <phoneticPr fontId="1" type="noConversion"/>
  </si>
  <si>
    <t>金發 PBT-NPG30RE BK019</t>
    <phoneticPr fontId="1" type="noConversion"/>
  </si>
  <si>
    <t>金發PBT-NPG30RE BK016</t>
    <phoneticPr fontId="1" type="noConversion"/>
  </si>
  <si>
    <t>金發 RELOY-R35G30S25 BK002</t>
    <phoneticPr fontId="1" type="noConversion"/>
  </si>
  <si>
    <t>Chemical, organic {GLO}| market for | APOS, S</t>
  </si>
  <si>
    <t>PERFLUORO- SOLVENT</t>
    <phoneticPr fontId="1" type="noConversion"/>
  </si>
  <si>
    <t>OIL COATING POR-7 PORITE</t>
    <phoneticPr fontId="1" type="noConversion"/>
  </si>
  <si>
    <r>
      <rPr>
        <sz val="11"/>
        <color rgb="FF000000"/>
        <rFont val="微軟正黑體"/>
        <family val="2"/>
        <charset val="136"/>
      </rPr>
      <t>庚葉</t>
    </r>
    <r>
      <rPr>
        <sz val="11"/>
        <color rgb="FF000000"/>
        <rFont val="Arial"/>
        <family val="2"/>
      </rPr>
      <t xml:space="preserve"> GN-230(R25)</t>
    </r>
    <phoneticPr fontId="1" type="noConversion"/>
  </si>
  <si>
    <t>庚葉</t>
    <phoneticPr fontId="1" type="noConversion"/>
  </si>
  <si>
    <r>
      <rPr>
        <sz val="12"/>
        <color rgb="FF000000"/>
        <rFont val="微軟正黑體"/>
        <family val="2"/>
        <charset val="136"/>
      </rPr>
      <t>新光</t>
    </r>
    <r>
      <rPr>
        <sz val="12"/>
        <color rgb="FF000000"/>
        <rFont val="Calibri"/>
        <family val="2"/>
      </rPr>
      <t xml:space="preserve"> F202G30BK-DP6038</t>
    </r>
    <r>
      <rPr>
        <sz val="12"/>
        <color rgb="FF000000"/>
        <rFont val="Microsoft JhengHei"/>
        <family val="2"/>
        <charset val="136"/>
      </rPr>
      <t xml:space="preserve"> (製程改善)</t>
    </r>
    <phoneticPr fontId="1" type="noConversion"/>
  </si>
  <si>
    <t>新光</t>
    <phoneticPr fontId="1" type="noConversion"/>
  </si>
  <si>
    <t>磁帶=橡膠+鐵粉</t>
    <phoneticPr fontId="1" type="noConversion"/>
  </si>
  <si>
    <t>丁腈橡膠  3.04/氧化鐵粉 1.28</t>
    <phoneticPr fontId="1" type="noConversion"/>
  </si>
  <si>
    <t>臺灣</t>
  </si>
  <si>
    <t>公斤(kg)</t>
  </si>
  <si>
    <t>氧化鐵粉 1.28</t>
    <phoneticPr fontId="1" type="noConversion"/>
  </si>
  <si>
    <t>台灣</t>
  </si>
  <si>
    <r>
      <rPr>
        <sz val="12"/>
        <color theme="1"/>
        <rFont val="新細明體"/>
        <family val="2"/>
        <charset val="136"/>
      </rPr>
      <t>項次</t>
    </r>
    <phoneticPr fontId="1" type="noConversion"/>
  </si>
  <si>
    <r>
      <rPr>
        <sz val="12"/>
        <color theme="1"/>
        <rFont val="細明體"/>
        <family val="3"/>
        <charset val="136"/>
      </rPr>
      <t>項目說明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細明體"/>
        <family val="3"/>
        <charset val="136"/>
      </rPr>
      <t>中譯)</t>
    </r>
    <phoneticPr fontId="1" type="noConversion"/>
  </si>
  <si>
    <t>Transport, freight, lorry &gt;32 metric ton, EURO3 {RER}| transport, freight, lorry &gt;32 metric ton, EURO3 | APOS, S</t>
    <phoneticPr fontId="1" type="noConversion"/>
  </si>
  <si>
    <r>
      <rPr>
        <sz val="12"/>
        <color theme="1"/>
        <rFont val="細明體"/>
        <family val="3"/>
        <charset val="136"/>
      </rPr>
      <t>運輸、貨運、卡車</t>
    </r>
    <r>
      <rPr>
        <sz val="12"/>
        <color theme="1"/>
        <rFont val="Arial"/>
        <family val="2"/>
      </rPr>
      <t xml:space="preserve"> &gt;32 </t>
    </r>
    <r>
      <rPr>
        <sz val="12"/>
        <color theme="1"/>
        <rFont val="細明體"/>
        <family val="3"/>
        <charset val="136"/>
      </rPr>
      <t>公噸</t>
    </r>
    <phoneticPr fontId="1" type="noConversion"/>
  </si>
  <si>
    <t>tkm</t>
    <phoneticPr fontId="1" type="noConversion"/>
  </si>
  <si>
    <t>Transport, freight, lorry 16-32 metric ton, EURO4 {RER}| transport, freight, lorry 16-32 metric ton, EURO4 | APOS, S</t>
    <phoneticPr fontId="1" type="noConversion"/>
  </si>
  <si>
    <r>
      <rPr>
        <sz val="12"/>
        <color theme="1"/>
        <rFont val="細明體"/>
        <family val="3"/>
        <charset val="136"/>
      </rPr>
      <t>運輸、貨運、卡車</t>
    </r>
    <r>
      <rPr>
        <sz val="12"/>
        <color theme="1"/>
        <rFont val="Arial"/>
        <family val="2"/>
      </rPr>
      <t xml:space="preserve"> 16-32 </t>
    </r>
    <r>
      <rPr>
        <sz val="12"/>
        <color theme="1"/>
        <rFont val="細明體"/>
        <family val="3"/>
        <charset val="136"/>
      </rPr>
      <t>公噸</t>
    </r>
    <phoneticPr fontId="1" type="noConversion"/>
  </si>
  <si>
    <t>Transport, freight, lorry 7.5-16 metric ton, EURO3 {RER}| transport, freight, lorry 7.5-16 metric ton, EURO3 | APOS, S</t>
    <phoneticPr fontId="1" type="noConversion"/>
  </si>
  <si>
    <r>
      <rPr>
        <sz val="12"/>
        <color theme="1"/>
        <rFont val="細明體"/>
        <family val="3"/>
        <charset val="136"/>
      </rPr>
      <t>運輸、貨運、卡車</t>
    </r>
    <r>
      <rPr>
        <sz val="12"/>
        <color theme="1"/>
        <rFont val="Arial"/>
        <family val="2"/>
      </rPr>
      <t xml:space="preserve"> 7.5-16 </t>
    </r>
    <r>
      <rPr>
        <sz val="12"/>
        <color theme="1"/>
        <rFont val="細明體"/>
        <family val="3"/>
        <charset val="136"/>
      </rPr>
      <t>公噸</t>
    </r>
    <phoneticPr fontId="1" type="noConversion"/>
  </si>
  <si>
    <t>Transport, freight, lorry 3.5-7.5 metric ton, EURO3 {RER}| transport, freight, lorry 3.5-7.5 metric ton, EURO3 | APOS, S</t>
    <phoneticPr fontId="1" type="noConversion"/>
  </si>
  <si>
    <r>
      <rPr>
        <sz val="12"/>
        <color theme="1"/>
        <rFont val="細明體"/>
        <family val="3"/>
        <charset val="136"/>
      </rPr>
      <t>運輸、貨運、卡車</t>
    </r>
    <r>
      <rPr>
        <sz val="12"/>
        <color theme="1"/>
        <rFont val="Arial"/>
        <family val="2"/>
      </rPr>
      <t xml:space="preserve"> 3.5-7.5 </t>
    </r>
    <r>
      <rPr>
        <sz val="12"/>
        <color theme="1"/>
        <rFont val="細明體"/>
        <family val="3"/>
        <charset val="136"/>
      </rPr>
      <t>公噸</t>
    </r>
    <phoneticPr fontId="1" type="noConversion"/>
  </si>
  <si>
    <t>Municipal waste collection service by 21 metric ton lorry {GLO}| market for | APOS, S</t>
    <phoneticPr fontId="1" type="noConversion"/>
  </si>
  <si>
    <r>
      <t>21</t>
    </r>
    <r>
      <rPr>
        <sz val="12"/>
        <color theme="1"/>
        <rFont val="細明體"/>
        <family val="3"/>
        <charset val="136"/>
      </rPr>
      <t>噸卡車城市垃圾收集服務</t>
    </r>
    <phoneticPr fontId="1" type="noConversion"/>
  </si>
  <si>
    <t>Transport, freight, sea, container ship {GLO}| market for transport, freight, sea, container ship | APOS, S</t>
    <phoneticPr fontId="1" type="noConversion"/>
  </si>
  <si>
    <t>運輸、貨運、海運、貨櫃船</t>
    <phoneticPr fontId="1" type="noConversion"/>
  </si>
  <si>
    <t>Transport, freight, aircraft, long haul {GLO}| market for transport, freight, aircraft, long haul | APOS, S</t>
    <phoneticPr fontId="1" type="noConversion"/>
  </si>
  <si>
    <t>運輸、貨運、飛機、長途</t>
    <phoneticPr fontId="1" type="noConversion"/>
  </si>
  <si>
    <t>kgCO2/tkm</t>
  </si>
  <si>
    <t>Transport, freight, lorry 3.5-7.5 metric ton, EURO3 {RoW}| transport, freight, lorry 3.5-7.5 metric ton, EURO3 | APOS, S</t>
    <phoneticPr fontId="1" type="noConversion"/>
  </si>
  <si>
    <r>
      <rPr>
        <sz val="12"/>
        <color theme="1"/>
        <rFont val="新細明體"/>
        <family val="2"/>
        <charset val="136"/>
      </rPr>
      <t>項目說明</t>
    </r>
    <phoneticPr fontId="1" type="noConversion"/>
  </si>
  <si>
    <t>Electricity, low voltage {GLO}| market group for | APOS, S</t>
    <phoneticPr fontId="1" type="noConversion"/>
  </si>
  <si>
    <r>
      <rPr>
        <sz val="12"/>
        <color theme="1"/>
        <rFont val="細明體"/>
        <family val="3"/>
        <charset val="136"/>
      </rPr>
      <t>電力，低壓</t>
    </r>
    <r>
      <rPr>
        <sz val="12"/>
        <color theme="1"/>
        <rFont val="Arial"/>
        <family val="2"/>
      </rPr>
      <t xml:space="preserve"> {GLO}</t>
    </r>
    <phoneticPr fontId="1" type="noConversion"/>
  </si>
  <si>
    <t>kWh</t>
    <phoneticPr fontId="1" type="noConversion"/>
  </si>
  <si>
    <t>Electricity, low voltage {CN}| market group for | APOS, S</t>
    <phoneticPr fontId="1" type="noConversion"/>
  </si>
  <si>
    <r>
      <rPr>
        <sz val="12"/>
        <color theme="1"/>
        <rFont val="細明體"/>
        <family val="3"/>
        <charset val="136"/>
      </rPr>
      <t>電力，低壓</t>
    </r>
    <r>
      <rPr>
        <sz val="12"/>
        <color theme="1"/>
        <rFont val="Arial"/>
        <family val="2"/>
      </rPr>
      <t xml:space="preserve"> {</t>
    </r>
    <r>
      <rPr>
        <sz val="12"/>
        <color theme="1"/>
        <rFont val="細明體"/>
        <family val="3"/>
        <charset val="136"/>
      </rPr>
      <t>中國</t>
    </r>
    <r>
      <rPr>
        <sz val="12"/>
        <color theme="1"/>
        <rFont val="Arial"/>
        <family val="2"/>
      </rPr>
      <t>}</t>
    </r>
    <phoneticPr fontId="1" type="noConversion"/>
  </si>
  <si>
    <t>Electricity, low voltage {US}| market group for | APOS, S</t>
  </si>
  <si>
    <r>
      <rPr>
        <sz val="12"/>
        <color theme="1"/>
        <rFont val="細明體"/>
        <family val="3"/>
        <charset val="136"/>
      </rPr>
      <t>電力，低壓</t>
    </r>
    <r>
      <rPr>
        <sz val="12"/>
        <color theme="1"/>
        <rFont val="Arial"/>
        <family val="2"/>
      </rPr>
      <t xml:space="preserve"> {</t>
    </r>
    <r>
      <rPr>
        <sz val="12"/>
        <color theme="1"/>
        <rFont val="細明體"/>
        <family val="3"/>
        <charset val="136"/>
      </rPr>
      <t>美國</t>
    </r>
    <r>
      <rPr>
        <sz val="12"/>
        <color theme="1"/>
        <rFont val="Arial"/>
        <family val="2"/>
      </rPr>
      <t>}</t>
    </r>
    <phoneticPr fontId="1" type="noConversion"/>
  </si>
  <si>
    <t>Electricity, low voltage {RER}| market group for | APOS, S</t>
    <phoneticPr fontId="1" type="noConversion"/>
  </si>
  <si>
    <r>
      <rPr>
        <sz val="12"/>
        <color theme="1"/>
        <rFont val="細明體"/>
        <family val="3"/>
        <charset val="136"/>
      </rPr>
      <t>電力，低壓</t>
    </r>
    <r>
      <rPr>
        <sz val="12"/>
        <color theme="1"/>
        <rFont val="Arial"/>
        <family val="2"/>
      </rPr>
      <t xml:space="preserve"> {RER}</t>
    </r>
    <phoneticPr fontId="1" type="noConversion"/>
  </si>
  <si>
    <t>Municipal solid waste {GLO}| treatment of municipal solid waste, open burning | APOS, S</t>
    <phoneticPr fontId="1" type="noConversion"/>
  </si>
  <si>
    <t>都市生活垃圾</t>
    <phoneticPr fontId="1" type="noConversion"/>
  </si>
  <si>
    <r>
      <rPr>
        <sz val="12"/>
        <color theme="1"/>
        <rFont val="新細明體"/>
        <family val="2"/>
        <charset val="136"/>
      </rPr>
      <t>焚化</t>
    </r>
    <phoneticPr fontId="1" type="noConversion"/>
  </si>
  <si>
    <t>Municipal solid waste {Europe without Switzerland}| market group for municipal solid waste | APOS, S</t>
    <phoneticPr fontId="1" type="noConversion"/>
  </si>
  <si>
    <r>
      <rPr>
        <sz val="12"/>
        <color theme="1"/>
        <rFont val="細明體"/>
        <family val="3"/>
        <charset val="136"/>
      </rPr>
      <t>都市固體廢棄物</t>
    </r>
    <r>
      <rPr>
        <sz val="12"/>
        <color theme="1"/>
        <rFont val="Arial"/>
        <family val="2"/>
      </rPr>
      <t>{</t>
    </r>
    <r>
      <rPr>
        <sz val="12"/>
        <color theme="1"/>
        <rFont val="細明體"/>
        <family val="3"/>
        <charset val="136"/>
      </rPr>
      <t>瑞士除外的歐洲</t>
    </r>
    <r>
      <rPr>
        <sz val="12"/>
        <color theme="1"/>
        <rFont val="Arial"/>
        <family val="2"/>
      </rPr>
      <t>}</t>
    </r>
    <phoneticPr fontId="1" type="noConversion"/>
  </si>
  <si>
    <t>Raw sewage sludge {CH}| market for raw sewage sludge | APOS, S</t>
    <phoneticPr fontId="1" type="noConversion"/>
  </si>
  <si>
    <t>原污水污泥</t>
    <phoneticPr fontId="1" type="noConversion"/>
  </si>
  <si>
    <t>Electronics scrap {GLO}| market for | APOS, S</t>
    <phoneticPr fontId="1" type="noConversion"/>
  </si>
  <si>
    <t>電子廢棄物</t>
  </si>
  <si>
    <t>Waste electric and electronic equipment {GLO}| market for | APOS, S</t>
    <phoneticPr fontId="1" type="noConversion"/>
  </si>
  <si>
    <t>廢棄電器電子設備</t>
    <phoneticPr fontId="1" type="noConversion"/>
  </si>
  <si>
    <t>Municipal solid waste {RoW}| market for | APOS, S</t>
    <phoneticPr fontId="1" type="noConversion"/>
  </si>
  <si>
    <r>
      <rPr>
        <sz val="12"/>
        <color theme="1"/>
        <rFont val="新細明體"/>
        <family val="2"/>
        <charset val="136"/>
      </rPr>
      <t>值</t>
    </r>
    <phoneticPr fontId="1" type="noConversion"/>
  </si>
  <si>
    <r>
      <rPr>
        <sz val="12"/>
        <color theme="1"/>
        <rFont val="新細明體"/>
        <family val="2"/>
        <charset val="136"/>
      </rPr>
      <t>單位</t>
    </r>
    <phoneticPr fontId="1" type="noConversion"/>
  </si>
  <si>
    <r>
      <rPr>
        <sz val="12"/>
        <color theme="1"/>
        <rFont val="微軟正黑體"/>
        <family val="2"/>
        <charset val="136"/>
      </rPr>
      <t>料頭</t>
    </r>
    <phoneticPr fontId="1" type="noConversion"/>
  </si>
  <si>
    <t>B1</t>
    <phoneticPr fontId="1" type="noConversion"/>
  </si>
  <si>
    <t>Aluminium collector foil, for Li-ion battery {GLO}| market for aluminium collector foil, for Li-ion battery | APOS, S</t>
  </si>
  <si>
    <t>B2</t>
    <phoneticPr fontId="1" type="noConversion"/>
  </si>
  <si>
    <t>Anode, graphite, for Li-ion battery {CN}| market for anode, graphite, for Li-ion battery | APOS, S</t>
  </si>
  <si>
    <t>B3</t>
  </si>
  <si>
    <t>Anode, graphite, for Li-ion battery {RoW}| market for anode, graphite, for Li-ion battery | APOS, S</t>
  </si>
  <si>
    <t>B4</t>
  </si>
  <si>
    <t>Anode, graphite, for lithium-ion battery {GLO}| market for | Cut-off, U</t>
  </si>
  <si>
    <t>B5</t>
  </si>
  <si>
    <t>Anode, silicon coated graphite, for Li-ion battery {CN}| market for anode, silicon coated graphite, for Li-ion battery | APOS, S</t>
  </si>
  <si>
    <t>B6</t>
  </si>
  <si>
    <t>Anode, silicon coated graphite, for Li-ion battery {RoW}| market for anode, silicon coated graphite, for Li-ion battery | APOS, S</t>
  </si>
  <si>
    <t>B7</t>
  </si>
  <si>
    <t>B8</t>
  </si>
  <si>
    <t>Battery cell, Li-ion, NCA {GLO}| market for battery cell, Li-ion, NCA | APOS, S</t>
    <phoneticPr fontId="1" type="noConversion"/>
  </si>
  <si>
    <t>B9</t>
  </si>
  <si>
    <t>Battery cell, Li-ion, NMC111 {GLO}| market for battery cell, Li-ion, NMC111 | APOS, S</t>
    <phoneticPr fontId="1" type="noConversion"/>
  </si>
  <si>
    <t>B10</t>
  </si>
  <si>
    <t>Battery cell, Li-ion, NMC811 {GLO}| market for battery cell, Li-ion, NMC811 | APOS, S</t>
  </si>
  <si>
    <t>B11</t>
  </si>
  <si>
    <t>Battery management system, for Li-ion battery {GLO}| market for battery management system, for Li-ion battery | APOS, S</t>
  </si>
  <si>
    <t>B12</t>
  </si>
  <si>
    <t>Battery module packaging, Li-ion {GLO}| market for battery module packaging, Li-ion | APOS, S</t>
  </si>
  <si>
    <t>B13</t>
  </si>
  <si>
    <t>Battery, lead acid, rechargeable, stationary {GLO}| market for battery, lead acid, rechargeable, stationary | APOS, S</t>
  </si>
  <si>
    <t>B14</t>
  </si>
  <si>
    <t>Battery, Li-ion, NCA, rechargeable, prismatic {GLO}| market for battery, Li-ion, NCA, rechargeable, prismatic | APOS, S</t>
  </si>
  <si>
    <t>B15</t>
  </si>
  <si>
    <t>Battery, Li-ion, NMC111, rechargeable, prismatic {GLO}| market for battery, Li-ion, NMC111, rechargeable, prismatic | APOS, S</t>
  </si>
  <si>
    <t>B16</t>
  </si>
  <si>
    <t>Battery, Li-ion, NMC811, rechargeable, prismatic {GLO}| market for battery, Li-ion, NMC811, rechargeable, prismatic | APOS, S</t>
  </si>
  <si>
    <t>B17</t>
  </si>
  <si>
    <t>Battery, Li-ion, rechargeable, prismatic {GLO}| market for | APOS, S</t>
  </si>
  <si>
    <t>B18</t>
  </si>
  <si>
    <t>Battery, NaCl {GLO}| market for | Cut-off, U</t>
  </si>
  <si>
    <t>B19</t>
  </si>
  <si>
    <t>Battery, NiMH, rechargeable, prismatic {GLO}| market for | APOS, S</t>
  </si>
  <si>
    <t>B20</t>
  </si>
  <si>
    <t>Cathode, LiMn2O4, for lithium-ion battery {GLO}| market for | APOS, S</t>
  </si>
  <si>
    <t>B21</t>
  </si>
  <si>
    <t>Cathode, NCA, for Li-ion battery {CN}| market for cathode, NCA, for Li-ion battery | APOS, S</t>
  </si>
  <si>
    <t>B22</t>
  </si>
  <si>
    <t>Cathode, NCA, for Li-ion battery {RoW}| market for cathode, NCA, for Li-ion battery | APOS, S</t>
  </si>
  <si>
    <t>B23</t>
  </si>
  <si>
    <t>Cathode, NMC111, for Li-ion battery {CN}| market for cathode, NMC111, for Li-ion battery | APOS, S</t>
  </si>
  <si>
    <t>B24</t>
  </si>
  <si>
    <t>Cathode, NMC111, for Li-ion battery {RoW}| market for cathode, NMC111, for Li-ion battery | APOS, S</t>
  </si>
  <si>
    <t>B25</t>
  </si>
  <si>
    <t>Cathode, NMC811, for Li-ion battery {CN}| market for cathode, NMC811, for Li-ion battery | APOS, S</t>
  </si>
  <si>
    <t>B26</t>
  </si>
  <si>
    <t>Cathode, NMC811, for Li-ion battery {RoW}| market for cathode, NMC811, for Li-ion battery | APOS, S</t>
  </si>
  <si>
    <t>B27</t>
  </si>
  <si>
    <t>Copper collector foil, for Li-ion battery {GLO}| market for copper collector foil, for Li-ion battery | APOS, S</t>
  </si>
  <si>
    <t>B28</t>
  </si>
  <si>
    <t>Electrolyte, for Li-ion battery {GLO}| market for electrolyte, for Li-ion battery | APOS, S</t>
  </si>
  <si>
    <t>B29</t>
  </si>
  <si>
    <t>High voltage system, for Li-ion battery {GLO}| market for high voltage system, for Li-ion battery | APOS, S</t>
  </si>
  <si>
    <t>B30</t>
  </si>
  <si>
    <t>Integrated battery interface system, for Li-ion battery {GLO}| market for integrated battery interface system, for Li-ion battery | APOS, S</t>
  </si>
  <si>
    <t>B31</t>
  </si>
  <si>
    <t>Low voltage system, for Li-ion battery {GLO}| market for low voltage system, for Li-ion battery | APOS, S</t>
  </si>
  <si>
    <t>3815969800</t>
  </si>
  <si>
    <t>INSERT STATOR ASSY 26*5 QUR0912SJ-00BZJ</t>
  </si>
  <si>
    <t>4177102300</t>
  </si>
  <si>
    <t>XX4040518400</t>
  </si>
  <si>
    <t>COIL 50A600 W74 T0.5</t>
  </si>
  <si>
    <t>4040508200RC</t>
  </si>
  <si>
    <t>SI-STEEL RECYCLE</t>
  </si>
  <si>
    <t>WIRE CP SQUARE 0.64*0.64 NAT</t>
  </si>
  <si>
    <t>STATOR ASSY 26*5 ASB1212SJ-00F9U</t>
    <phoneticPr fontId="1" type="noConversion"/>
  </si>
  <si>
    <t>4040518400</t>
    <phoneticPr fontId="1" type="noConversion"/>
  </si>
  <si>
    <t>4011600100</t>
    <phoneticPr fontId="1" type="noConversion"/>
  </si>
  <si>
    <t>SI-STEEL ASSY 50A600 26*10.05*5 T0.5</t>
    <phoneticPr fontId="1" type="noConversion"/>
  </si>
  <si>
    <t>***組合係數***
SI-STEEL  + 繞線</t>
    <phoneticPr fontId="1" type="noConversion"/>
  </si>
  <si>
    <t>3816654000</t>
    <phoneticPr fontId="1" type="noConversion"/>
  </si>
  <si>
    <t>3816654000=4040518400+4011600100</t>
    <phoneticPr fontId="1" type="noConversion"/>
  </si>
  <si>
    <t>COIL SPCC W80 T0.4</t>
    <phoneticPr fontId="1" type="noConversion"/>
  </si>
  <si>
    <t>STATOR ASSY(COIL SPCC W80 T0.4+wire cp)</t>
    <phoneticPr fontId="1" type="noConversion"/>
  </si>
  <si>
    <t>3430119800</t>
  </si>
  <si>
    <t xml:space="preserve">BUSHING BRS </t>
    <phoneticPr fontId="1" type="noConversion"/>
  </si>
  <si>
    <t>Phone jack,</t>
    <phoneticPr fontId="1" type="noConversion"/>
  </si>
  <si>
    <t>(houseing+端子)</t>
    <phoneticPr fontId="1" type="noConversion"/>
  </si>
  <si>
    <t>386</t>
    <phoneticPr fontId="1" type="noConversion"/>
  </si>
  <si>
    <t>30814, 309,386</t>
    <phoneticPr fontId="1" type="noConversion"/>
  </si>
  <si>
    <t>丁腈橡膠  NBR 3.04/氧化鐵粉 1.28+ Injection moulding {GLO}| market for | APOS, S</t>
    <phoneticPr fontId="1" type="noConversion"/>
  </si>
  <si>
    <t>**組合係數** NBR橡膠90%+氧化鐵粉 10% +射出成形</t>
    <phoneticPr fontId="1" type="noConversion"/>
  </si>
  <si>
    <r>
      <rPr>
        <sz val="12"/>
        <color theme="1"/>
        <rFont val="細明體"/>
        <family val="3"/>
        <charset val="136"/>
      </rPr>
      <t>電力，低壓</t>
    </r>
    <r>
      <rPr>
        <sz val="12"/>
        <color theme="1"/>
        <rFont val="Arial"/>
        <family val="2"/>
      </rPr>
      <t xml:space="preserve"> {</t>
    </r>
    <r>
      <rPr>
        <sz val="12"/>
        <color theme="1"/>
        <rFont val="微軟正黑體"/>
        <family val="2"/>
        <charset val="136"/>
      </rPr>
      <t>泰</t>
    </r>
    <r>
      <rPr>
        <sz val="12"/>
        <color theme="1"/>
        <rFont val="細明體"/>
        <family val="3"/>
        <charset val="136"/>
      </rPr>
      <t>國</t>
    </r>
    <r>
      <rPr>
        <sz val="12"/>
        <color theme="1"/>
        <rFont val="Arial"/>
        <family val="2"/>
      </rPr>
      <t>}</t>
    </r>
    <phoneticPr fontId="1" type="noConversion"/>
  </si>
  <si>
    <t>kgCO2/kWh</t>
    <phoneticPr fontId="1" type="noConversion"/>
  </si>
  <si>
    <t>Electricity, low voltage {TH}| market for | APOS, S</t>
    <phoneticPr fontId="1" type="noConversion"/>
  </si>
  <si>
    <t>磁帶，SOFT MAGNET,Magnet Rubber</t>
    <phoneticPr fontId="1" type="noConversion"/>
  </si>
  <si>
    <t>4110605300M</t>
    <phoneticPr fontId="1" type="noConversion"/>
  </si>
  <si>
    <t>MAGNET FERRITE (氧化鐵粉99%) 瓦磁,燒結</t>
    <phoneticPr fontId="1" type="noConversion"/>
  </si>
  <si>
    <t>氧化鐵粉 99 % +射出成形</t>
    <phoneticPr fontId="1" type="noConversion"/>
  </si>
  <si>
    <t xml:space="preserve">產品碳足跡資訊網 </t>
  </si>
  <si>
    <t>氧化鐵粉 1.28+ Injection moulding {GLO}| market for | APOS, S</t>
    <phoneticPr fontId="1" type="noConversion"/>
  </si>
  <si>
    <t>廠牌</t>
  </si>
  <si>
    <t>台達料號</t>
  </si>
  <si>
    <t>種類</t>
  </si>
  <si>
    <r>
      <t>回收比例</t>
    </r>
    <r>
      <rPr>
        <b/>
        <sz val="11"/>
        <color rgb="FFFFFFFF"/>
        <rFont val="Arial"/>
        <family val="2"/>
      </rPr>
      <t>%</t>
    </r>
  </si>
  <si>
    <t>型號</t>
  </si>
  <si>
    <t>碳排數據KG</t>
  </si>
  <si>
    <t>減少碳排數據KG</t>
  </si>
  <si>
    <t>減碳下降%</t>
  </si>
  <si>
    <t>金發</t>
  </si>
  <si>
    <t>PBT</t>
  </si>
  <si>
    <t>PBT-NPG30</t>
  </si>
  <si>
    <t>-</t>
  </si>
  <si>
    <t>OBP</t>
  </si>
  <si>
    <t>PBT-NPG30RE BK019</t>
  </si>
  <si>
    <t>PCR</t>
  </si>
  <si>
    <t>PBT-NPG30RE BK016</t>
  </si>
  <si>
    <t>RELOY-R35G30S25 BK002</t>
  </si>
  <si>
    <t>NA</t>
  </si>
  <si>
    <t>RELOY-R35G30S35</t>
  </si>
  <si>
    <t>RESTE-R35G30S50</t>
  </si>
  <si>
    <t>庚葉</t>
  </si>
  <si>
    <t>GN-230</t>
  </si>
  <si>
    <t>GN-230(R25)</t>
  </si>
  <si>
    <r>
      <t>GN-130</t>
    </r>
    <r>
      <rPr>
        <sz val="11"/>
        <color rgb="FF000000"/>
        <rFont val="Microsoft JhengHei"/>
        <family val="2"/>
      </rPr>
      <t>(R50)</t>
    </r>
  </si>
  <si>
    <t>新光</t>
  </si>
  <si>
    <r>
      <t>F202G30BK-DP6038</t>
    </r>
    <r>
      <rPr>
        <sz val="12"/>
        <color rgb="FF000000"/>
        <rFont val="Microsoft JhengHei"/>
        <family val="2"/>
      </rPr>
      <t xml:space="preserve"> (製程改善)</t>
    </r>
  </si>
  <si>
    <t>改善前</t>
  </si>
  <si>
    <t>4110343713, MAGNET MQ-RC   , NdFeB bonded = MQ</t>
    <phoneticPr fontId="1" type="noConversion"/>
  </si>
  <si>
    <t>永久磁鐵，用於電動車</t>
    <phoneticPr fontId="1" type="noConversion"/>
  </si>
  <si>
    <t>MAGNET MQ(使用在高特性的DC fan多) ex: NB FAN/Axial FAN,NdFeB bonded = MQ</t>
    <phoneticPr fontId="1" type="noConversion"/>
  </si>
  <si>
    <t>NdFeB磁粉加入粘合劑 釹鐵硼
Fe 50%+ Nd 25%</t>
    <phoneticPr fontId="1" type="noConversion"/>
  </si>
  <si>
    <t>PE FILM/ANTI BAG PE/END BLOCK EPE</t>
    <phoneticPr fontId="1" type="noConversion"/>
  </si>
  <si>
    <r>
      <t>kgCO2/</t>
    </r>
    <r>
      <rPr>
        <sz val="12"/>
        <rFont val="微軟正黑體"/>
        <family val="2"/>
        <charset val="136"/>
      </rPr>
      <t>度</t>
    </r>
    <phoneticPr fontId="6" type="noConversion"/>
  </si>
  <si>
    <t>Electricity, high voltage {CN-JS}| electricity production, hydro, run-of-river | APOS, S</t>
    <phoneticPr fontId="6" type="noConversion"/>
  </si>
  <si>
    <t>綠電</t>
    <phoneticPr fontId="1" type="noConversion"/>
  </si>
  <si>
    <r>
      <t>kgCO2/</t>
    </r>
    <r>
      <rPr>
        <sz val="12"/>
        <rFont val="Times New Roman"/>
        <family val="1"/>
      </rPr>
      <t>Kg</t>
    </r>
    <phoneticPr fontId="6" type="noConversion"/>
  </si>
  <si>
    <t>Activated carbon, at plant/RER Mass</t>
    <phoneticPr fontId="6" type="noConversion"/>
  </si>
  <si>
    <t>活性炭</t>
    <phoneticPr fontId="1" type="noConversion"/>
  </si>
  <si>
    <t>自發綠電</t>
    <phoneticPr fontId="1" type="noConversion"/>
  </si>
  <si>
    <r>
      <rPr>
        <sz val="12"/>
        <color theme="1"/>
        <rFont val="細明體"/>
        <family val="3"/>
        <charset val="136"/>
      </rPr>
      <t>電力，</t>
    </r>
    <r>
      <rPr>
        <sz val="12"/>
        <color theme="1"/>
        <rFont val="微軟正黑體"/>
        <family val="3"/>
        <charset val="136"/>
      </rPr>
      <t>高</t>
    </r>
    <r>
      <rPr>
        <sz val="12"/>
        <color theme="1"/>
        <rFont val="細明體"/>
        <family val="3"/>
        <charset val="136"/>
      </rPr>
      <t>壓</t>
    </r>
    <r>
      <rPr>
        <sz val="12"/>
        <color theme="1"/>
        <rFont val="Arial"/>
        <family val="2"/>
      </rPr>
      <t xml:space="preserve"> {</t>
    </r>
    <r>
      <rPr>
        <sz val="12"/>
        <color theme="1"/>
        <rFont val="細明體"/>
        <family val="3"/>
        <charset val="136"/>
      </rPr>
      <t>中國</t>
    </r>
    <r>
      <rPr>
        <sz val="12"/>
        <color theme="1"/>
        <rFont val="Arial"/>
        <family val="2"/>
      </rPr>
      <t>}</t>
    </r>
    <r>
      <rPr>
        <sz val="12"/>
        <color theme="1"/>
        <rFont val="微軟正黑體"/>
        <family val="3"/>
        <charset val="136"/>
      </rPr>
      <t>川流發電</t>
    </r>
    <phoneticPr fontId="1" type="noConversion"/>
  </si>
  <si>
    <t>瓦楞紙(3層2浪)，刀卡，PARTITION PAPER</t>
    <phoneticPr fontId="1" type="noConversion"/>
  </si>
  <si>
    <t>PAD CRGD PAPER</t>
    <phoneticPr fontId="1" type="noConversion"/>
  </si>
  <si>
    <t>ANGLE PAPER</t>
    <phoneticPr fontId="1" type="noConversion"/>
  </si>
  <si>
    <t>Core board {GLO}| market for | APOS, S</t>
  </si>
  <si>
    <t>核心板</t>
  </si>
  <si>
    <t>TRAY CRGD PAPER</t>
    <phoneticPr fontId="1" type="noConversion"/>
  </si>
  <si>
    <t>紙箱，Carton Paper</t>
    <phoneticPr fontId="1" type="noConversion"/>
  </si>
  <si>
    <t>STRAPPING PP,TAPE PP</t>
    <phoneticPr fontId="1" type="noConversion"/>
  </si>
  <si>
    <t>SHEET PE</t>
    <phoneticPr fontId="1" type="noConversion"/>
  </si>
  <si>
    <t>FILM PE</t>
    <phoneticPr fontId="1" type="noConversion"/>
  </si>
  <si>
    <t>AIR BUBBLE PE</t>
    <phoneticPr fontId="1" type="noConversion"/>
  </si>
  <si>
    <t>kgCO2e</t>
    <phoneticPr fontId="1" type="noConversion"/>
  </si>
  <si>
    <t>Steel electrogalvanised steel/Asia
Metal working, average for metal product manufacturing {GLO}| market for | APOS, S</t>
    <phoneticPr fontId="1" type="noConversion"/>
  </si>
  <si>
    <t>***組合係數***
不鏽鋼SPCC+金屬加工</t>
    <phoneticPr fontId="1" type="noConversion"/>
  </si>
  <si>
    <t>BRACKET SPCC,Coil SPCC</t>
    <phoneticPr fontId="1" type="noConversion"/>
  </si>
  <si>
    <t>不鏽鋼冷軋鋼捲___C1006 低碳鋼目前用此係數</t>
    <phoneticPr fontId="1" type="noConversion"/>
  </si>
  <si>
    <t>Cold-rolled stainless coil 不鏽鋼冷軋鋼捲</t>
    <phoneticPr fontId="1" type="noConversion"/>
  </si>
  <si>
    <t>NUT HEXH+SFLANGE M4*5.2mm SWRCH6A NI</t>
  </si>
  <si>
    <t>3110127200</t>
  </si>
  <si>
    <t>Cold-rolled stainless coil 不鏽鋼冷軋鋼捲+
Metal working, average for metal product manufacturing {GLO}| market for | APOS, S</t>
    <phoneticPr fontId="1" type="noConversion"/>
  </si>
  <si>
    <t>***組合係數***
不鏽鋼冷軋鋼捲__+金屬加工</t>
    <phoneticPr fontId="1" type="noConversion"/>
  </si>
  <si>
    <t>251,253~254, 260</t>
    <phoneticPr fontId="1" type="noConversion"/>
  </si>
  <si>
    <t>木棧板，PALLET PLYWOOD,用數量來算非物料重量,用QPA 去試算,重量修改為1000.橫面公式/1000, 一顆風扇的用量以QPA來看</t>
    <phoneticPr fontId="1" type="noConversion"/>
  </si>
  <si>
    <t>螺絲,screw</t>
    <phoneticPr fontId="1" type="noConversion"/>
  </si>
  <si>
    <t>Nylon 6-6 {RER}| market for nylon 6-6 | APOS, U
Injection moulding {GLO}| market for | APOS, S</t>
    <phoneticPr fontId="1" type="noConversion"/>
  </si>
  <si>
    <t>PA66/Polyamide 66+injection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</si>
</sst>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0_);[Red]\(0.00000\)"/>
    <numFmt numFmtId="178" formatCode="0.0_);[Red]\(0.0\)"/>
    <numFmt numFmtId="179" formatCode="0.000_);[Red]\(0.000\)"/>
  </numFmts>
  <fonts count="6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  <font>
      <sz val="11"/>
      <color theme="1"/>
      <name val="Calibri"/>
      <family val="2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rgb="FF0000FF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181818"/>
      <name val="微軟正黑體"/>
      <family val="2"/>
      <charset val="136"/>
    </font>
    <font>
      <sz val="12"/>
      <color rgb="FF181818"/>
      <name val="Verdana"/>
      <family val="2"/>
    </font>
    <font>
      <sz val="12"/>
      <color indexed="8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微軟正黑體"/>
      <family val="2"/>
      <charset val="136"/>
    </font>
    <font>
      <sz val="12"/>
      <color theme="1"/>
      <name val="細明體"/>
      <family val="3"/>
      <charset val="136"/>
    </font>
    <font>
      <sz val="12"/>
      <color rgb="FF0087DC"/>
      <name val="微軟正黑體"/>
      <family val="2"/>
      <charset val="136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  <charset val="136"/>
    </font>
    <font>
      <sz val="12"/>
      <name val="Times New Roman"/>
      <family val="1"/>
    </font>
    <font>
      <sz val="12"/>
      <color theme="1"/>
      <name val="Times New Roman"/>
      <family val="1"/>
      <charset val="136"/>
    </font>
    <font>
      <sz val="10"/>
      <color indexed="8"/>
      <name val="Arial"/>
      <family val="2"/>
    </font>
    <font>
      <sz val="12"/>
      <name val="Arial"/>
      <family val="2"/>
    </font>
    <font>
      <sz val="12"/>
      <color theme="1"/>
      <name val="Microsoft JhengHei Light"/>
      <family val="2"/>
      <charset val="136"/>
    </font>
    <font>
      <sz val="11"/>
      <color theme="1"/>
      <name val="Arial"/>
      <family val="2"/>
    </font>
    <font>
      <sz val="11"/>
      <color theme="1"/>
      <name val="微軟正黑體"/>
      <family val="2"/>
      <charset val="136"/>
    </font>
    <font>
      <b/>
      <sz val="10"/>
      <color theme="1"/>
      <name val="Microsoft JhengHei Light"/>
      <family val="2"/>
      <charset val="136"/>
    </font>
    <font>
      <sz val="11"/>
      <color rgb="FF000000"/>
      <name val="Arial"/>
      <family val="2"/>
    </font>
    <font>
      <sz val="11"/>
      <color rgb="FF000000"/>
      <name val="新細明體"/>
      <family val="1"/>
      <charset val="136"/>
    </font>
    <font>
      <sz val="11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</font>
    <font>
      <sz val="10"/>
      <color rgb="FF000000"/>
      <name val="Arial"/>
      <family val="2"/>
      <charset val="136"/>
    </font>
    <font>
      <sz val="10"/>
      <color rgb="FF000000"/>
      <name val="Microsoft JhengHei UI"/>
      <family val="2"/>
      <charset val="136"/>
    </font>
    <font>
      <sz val="12"/>
      <color rgb="FF000000"/>
      <name val="Calibri"/>
      <family val="2"/>
    </font>
    <font>
      <sz val="12"/>
      <color rgb="FF000000"/>
      <name val="Microsoft JhengHei"/>
      <family val="2"/>
      <charset val="136"/>
    </font>
    <font>
      <sz val="11"/>
      <color rgb="FF000000"/>
      <name val="Arial"/>
      <family val="2"/>
      <charset val="136"/>
    </font>
    <font>
      <sz val="12"/>
      <color rgb="FF000000"/>
      <name val="Calibri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1"/>
      <name val="Arial"/>
      <family val="2"/>
    </font>
    <font>
      <sz val="7"/>
      <color rgb="FF181818"/>
      <name val="Verdana"/>
      <family val="2"/>
    </font>
    <font>
      <sz val="12"/>
      <color theme="1"/>
      <name val="Microsoft JhengHei UI"/>
      <family val="2"/>
      <charset val="136"/>
    </font>
    <font>
      <sz val="10"/>
      <color rgb="FFFF0000"/>
      <name val="Arial"/>
      <family val="2"/>
    </font>
    <font>
      <sz val="12"/>
      <color theme="1"/>
      <name val="Arial"/>
      <family val="3"/>
      <charset val="136"/>
    </font>
    <font>
      <b/>
      <sz val="11"/>
      <color rgb="FFFFFFFF"/>
      <name val="微軟正黑體"/>
      <family val="2"/>
      <charset val="136"/>
    </font>
    <font>
      <b/>
      <sz val="11"/>
      <color rgb="FFFFFFFF"/>
      <name val="新細明體"/>
      <family val="1"/>
      <charset val="136"/>
    </font>
    <font>
      <b/>
      <sz val="11"/>
      <color rgb="FFFFFFFF"/>
      <name val="Arial"/>
      <family val="2"/>
    </font>
    <font>
      <b/>
      <sz val="12"/>
      <color rgb="FFFFFFFF"/>
      <name val="微軟正黑體"/>
      <family val="2"/>
      <charset val="136"/>
    </font>
    <font>
      <sz val="11"/>
      <color rgb="FF000000"/>
      <name val="Microsoft JhengHei"/>
      <family val="2"/>
    </font>
    <font>
      <sz val="12"/>
      <color rgb="FF000000"/>
      <name val="Microsoft JhengHei"/>
      <family val="2"/>
    </font>
    <font>
      <b/>
      <sz val="8"/>
      <color rgb="FF464646"/>
      <name val="Arial"/>
      <family val="2"/>
    </font>
    <font>
      <sz val="12"/>
      <color theme="1"/>
      <name val="Calibri"/>
      <family val="2"/>
    </font>
    <font>
      <sz val="12"/>
      <color theme="1"/>
      <name val="微軟正黑體"/>
      <family val="3"/>
      <charset val="136"/>
    </font>
    <font>
      <sz val="10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5F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E1E8"/>
      </left>
      <right style="medium">
        <color rgb="FFC1E1E8"/>
      </right>
      <top style="medium">
        <color rgb="FF9AC0D1"/>
      </top>
      <bottom style="medium">
        <color rgb="FF9AC0D1"/>
      </bottom>
      <diagonal/>
    </border>
    <border>
      <left style="medium">
        <color rgb="FFC1E1E8"/>
      </left>
      <right style="medium">
        <color rgb="FF9AC0D1"/>
      </right>
      <top style="medium">
        <color rgb="FF9AC0D1"/>
      </top>
      <bottom style="medium">
        <color rgb="FF9AC0D1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/>
    <xf numFmtId="0" fontId="4" fillId="0" borderId="0"/>
    <xf numFmtId="0" fontId="2" fillId="0" borderId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0" fillId="0" borderId="1" xfId="8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1" applyFont="1" applyBorder="1" applyAlignment="1">
      <alignment horizontal="left" vertical="center" wrapText="1"/>
    </xf>
    <xf numFmtId="0" fontId="11" fillId="0" borderId="1" xfId="0" applyFont="1" applyBorder="1">
      <alignment vertical="center"/>
    </xf>
    <xf numFmtId="0" fontId="10" fillId="0" borderId="1" xfId="0" applyFont="1" applyBorder="1" applyAlignment="1">
      <alignment vertical="top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>
      <alignment vertical="center"/>
    </xf>
    <xf numFmtId="0" fontId="16" fillId="0" borderId="1" xfId="1" applyFont="1" applyBorder="1" applyAlignment="1">
      <alignment horizontal="left" vertical="center" wrapText="1"/>
    </xf>
    <xf numFmtId="11" fontId="17" fillId="0" borderId="1" xfId="0" applyNumberFormat="1" applyFont="1" applyBorder="1" applyAlignment="1">
      <alignment horizontal="left" vertical="center" wrapText="1"/>
    </xf>
    <xf numFmtId="0" fontId="1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 wrapText="1"/>
    </xf>
    <xf numFmtId="176" fontId="10" fillId="0" borderId="1" xfId="1" applyNumberFormat="1" applyFont="1" applyBorder="1" applyAlignment="1">
      <alignment horizontal="left" vertical="top" wrapText="1"/>
    </xf>
    <xf numFmtId="49" fontId="10" fillId="0" borderId="0" xfId="0" applyNumberFormat="1" applyFont="1">
      <alignment vertical="center"/>
    </xf>
    <xf numFmtId="0" fontId="23" fillId="0" borderId="0" xfId="0" applyFont="1" applyAlignment="1">
      <alignment vertical="center" readingOrder="1"/>
    </xf>
    <xf numFmtId="0" fontId="11" fillId="0" borderId="0" xfId="0" applyFont="1" applyAlignment="1">
      <alignment vertical="center" readingOrder="1"/>
    </xf>
    <xf numFmtId="49" fontId="10" fillId="0" borderId="1" xfId="0" applyNumberFormat="1" applyFont="1" applyBorder="1" applyAlignment="1">
      <alignment horizontal="left" vertical="center"/>
    </xf>
    <xf numFmtId="0" fontId="25" fillId="0" borderId="1" xfId="4" applyFont="1" applyBorder="1" applyAlignment="1">
      <alignment horizontal="center" vertical="center"/>
    </xf>
    <xf numFmtId="0" fontId="28" fillId="0" borderId="1" xfId="9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9" applyFont="1" applyFill="1" applyBorder="1" applyAlignment="1">
      <alignment horizontal="center" vertical="center" wrapText="1"/>
    </xf>
    <xf numFmtId="0" fontId="16" fillId="2" borderId="1" xfId="9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31" fillId="0" borderId="0" xfId="0" applyFont="1">
      <alignment vertical="center"/>
    </xf>
    <xf numFmtId="0" fontId="35" fillId="0" borderId="0" xfId="0" applyFont="1" applyAlignment="1">
      <alignment horizontal="right" vertical="center" wrapText="1"/>
    </xf>
    <xf numFmtId="0" fontId="16" fillId="0" borderId="1" xfId="9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2" fillId="0" borderId="1" xfId="0" applyFont="1" applyBorder="1">
      <alignment vertical="center"/>
    </xf>
    <xf numFmtId="49" fontId="7" fillId="0" borderId="1" xfId="0" applyNumberFormat="1" applyFont="1" applyBorder="1">
      <alignment vertical="center"/>
    </xf>
    <xf numFmtId="0" fontId="11" fillId="0" borderId="1" xfId="0" applyFont="1" applyBorder="1" applyAlignment="1">
      <alignment vertical="center" readingOrder="1"/>
    </xf>
    <xf numFmtId="0" fontId="0" fillId="0" borderId="1" xfId="0" applyBorder="1">
      <alignment vertical="center"/>
    </xf>
    <xf numFmtId="0" fontId="29" fillId="0" borderId="1" xfId="0" applyFont="1" applyBorder="1">
      <alignment vertical="center"/>
    </xf>
    <xf numFmtId="0" fontId="27" fillId="0" borderId="1" xfId="0" applyFont="1" applyBorder="1" applyAlignment="1">
      <alignment horizontal="center" vertical="center"/>
    </xf>
    <xf numFmtId="3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34" fillId="0" borderId="1" xfId="0" applyFont="1" applyBorder="1">
      <alignment vertical="center"/>
    </xf>
    <xf numFmtId="0" fontId="47" fillId="0" borderId="1" xfId="4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40" fillId="0" borderId="1" xfId="0" applyFont="1" applyBorder="1">
      <alignment vertical="center"/>
    </xf>
    <xf numFmtId="0" fontId="7" fillId="0" borderId="1" xfId="4" applyFont="1" applyBorder="1">
      <alignment vertical="center"/>
    </xf>
    <xf numFmtId="0" fontId="35" fillId="0" borderId="1" xfId="0" applyFont="1" applyBorder="1" applyAlignment="1">
      <alignment horizontal="right" vertical="center" wrapText="1"/>
    </xf>
    <xf numFmtId="0" fontId="26" fillId="0" borderId="1" xfId="4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4" applyFont="1" applyFill="1" applyBorder="1" applyAlignment="1">
      <alignment vertical="center" wrapText="1"/>
    </xf>
    <xf numFmtId="0" fontId="27" fillId="2" borderId="1" xfId="1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/>
    </xf>
    <xf numFmtId="0" fontId="26" fillId="2" borderId="1" xfId="4" applyFont="1" applyFill="1" applyBorder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3" fillId="4" borderId="3" xfId="0" applyFont="1" applyFill="1" applyBorder="1" applyAlignment="1">
      <alignment horizontal="center" vertical="center" wrapText="1"/>
    </xf>
    <xf numFmtId="11" fontId="48" fillId="0" borderId="0" xfId="0" applyNumberFormat="1" applyFont="1">
      <alignment vertical="center"/>
    </xf>
    <xf numFmtId="176" fontId="10" fillId="0" borderId="1" xfId="0" applyNumberFormat="1" applyFont="1" applyBorder="1" applyAlignment="1">
      <alignment horizontal="left" vertical="center"/>
    </xf>
    <xf numFmtId="49" fontId="29" fillId="5" borderId="0" xfId="0" applyNumberFormat="1" applyFont="1" applyFill="1" applyAlignment="1"/>
    <xf numFmtId="0" fontId="25" fillId="0" borderId="0" xfId="0" applyFont="1">
      <alignment vertical="center"/>
    </xf>
    <xf numFmtId="0" fontId="0" fillId="0" borderId="0" xfId="0" applyAlignment="1">
      <alignment vertical="top"/>
    </xf>
    <xf numFmtId="49" fontId="50" fillId="0" borderId="0" xfId="0" applyNumberFormat="1" applyFont="1" applyAlignment="1"/>
    <xf numFmtId="49" fontId="29" fillId="0" borderId="0" xfId="0" applyNumberFormat="1" applyFont="1" applyAlignment="1"/>
    <xf numFmtId="0" fontId="7" fillId="0" borderId="0" xfId="4" applyFont="1">
      <alignment vertical="center"/>
    </xf>
    <xf numFmtId="0" fontId="30" fillId="0" borderId="1" xfId="0" applyFont="1" applyBorder="1" applyAlignment="1">
      <alignment horizontal="center" vertical="center"/>
    </xf>
    <xf numFmtId="0" fontId="26" fillId="0" borderId="0" xfId="4" applyFont="1" applyAlignment="1">
      <alignment vertical="center" wrapText="1"/>
    </xf>
    <xf numFmtId="0" fontId="17" fillId="2" borderId="1" xfId="0" applyFont="1" applyFill="1" applyBorder="1" applyAlignment="1">
      <alignment horizontal="center" vertical="center"/>
    </xf>
    <xf numFmtId="0" fontId="10" fillId="2" borderId="1" xfId="8" applyFont="1" applyFill="1" applyBorder="1" applyAlignment="1">
      <alignment horizontal="left" vertical="center" wrapText="1"/>
    </xf>
    <xf numFmtId="0" fontId="51" fillId="0" borderId="1" xfId="0" applyFont="1" applyBorder="1">
      <alignment vertical="center"/>
    </xf>
    <xf numFmtId="0" fontId="10" fillId="2" borderId="1" xfId="0" applyFont="1" applyFill="1" applyBorder="1">
      <alignment vertical="center"/>
    </xf>
    <xf numFmtId="0" fontId="52" fillId="6" borderId="4" xfId="0" applyFont="1" applyFill="1" applyBorder="1" applyAlignment="1">
      <alignment horizontal="center" vertical="center" wrapText="1"/>
    </xf>
    <xf numFmtId="0" fontId="53" fillId="6" borderId="4" xfId="0" applyFont="1" applyFill="1" applyBorder="1" applyAlignment="1">
      <alignment horizontal="center" vertical="center" wrapText="1"/>
    </xf>
    <xf numFmtId="0" fontId="55" fillId="6" borderId="4" xfId="0" applyFont="1" applyFill="1" applyBorder="1" applyAlignment="1">
      <alignment horizontal="center" vertical="center" wrapText="1"/>
    </xf>
    <xf numFmtId="0" fontId="36" fillId="7" borderId="4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vertical="center" wrapText="1"/>
    </xf>
    <xf numFmtId="0" fontId="35" fillId="8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vertical="center" wrapText="1"/>
    </xf>
    <xf numFmtId="0" fontId="37" fillId="9" borderId="4" xfId="0" applyFont="1" applyFill="1" applyBorder="1" applyAlignment="1">
      <alignment horizontal="center" vertical="center" wrapText="1"/>
    </xf>
    <xf numFmtId="0" fontId="35" fillId="9" borderId="4" xfId="0" applyFont="1" applyFill="1" applyBorder="1" applyAlignment="1">
      <alignment horizontal="center" vertical="center" wrapText="1"/>
    </xf>
    <xf numFmtId="0" fontId="35" fillId="9" borderId="4" xfId="0" applyFont="1" applyFill="1" applyBorder="1" applyAlignment="1">
      <alignment vertical="center" wrapText="1"/>
    </xf>
    <xf numFmtId="10" fontId="35" fillId="9" borderId="4" xfId="0" applyNumberFormat="1" applyFont="1" applyFill="1" applyBorder="1" applyAlignment="1">
      <alignment horizontal="center" vertical="center" wrapText="1"/>
    </xf>
    <xf numFmtId="0" fontId="36" fillId="8" borderId="4" xfId="0" applyFont="1" applyFill="1" applyBorder="1" applyAlignment="1">
      <alignment horizontal="center" vertical="center" wrapText="1"/>
    </xf>
    <xf numFmtId="0" fontId="35" fillId="8" borderId="4" xfId="0" applyFont="1" applyFill="1" applyBorder="1" applyAlignment="1">
      <alignment vertical="center" wrapText="1"/>
    </xf>
    <xf numFmtId="10" fontId="35" fillId="8" borderId="4" xfId="0" applyNumberFormat="1" applyFont="1" applyFill="1" applyBorder="1" applyAlignment="1">
      <alignment horizontal="center" vertical="center" wrapText="1"/>
    </xf>
    <xf numFmtId="0" fontId="36" fillId="9" borderId="4" xfId="0" applyFont="1" applyFill="1" applyBorder="1" applyAlignment="1">
      <alignment horizontal="center" vertical="center" wrapText="1"/>
    </xf>
    <xf numFmtId="0" fontId="37" fillId="7" borderId="4" xfId="0" applyFont="1" applyFill="1" applyBorder="1" applyAlignment="1">
      <alignment horizontal="center" vertical="center" wrapText="1"/>
    </xf>
    <xf numFmtId="0" fontId="37" fillId="8" borderId="4" xfId="0" applyFont="1" applyFill="1" applyBorder="1" applyAlignment="1">
      <alignment horizontal="center" vertical="center" wrapText="1"/>
    </xf>
    <xf numFmtId="0" fontId="42" fillId="9" borderId="5" xfId="0" applyFont="1" applyFill="1" applyBorder="1" applyAlignment="1">
      <alignment vertical="center" wrapText="1"/>
    </xf>
    <xf numFmtId="0" fontId="57" fillId="9" borderId="6" xfId="0" applyFont="1" applyFill="1" applyBorder="1" applyAlignment="1">
      <alignment vertical="center" wrapText="1"/>
    </xf>
    <xf numFmtId="0" fontId="36" fillId="9" borderId="5" xfId="0" applyFont="1" applyFill="1" applyBorder="1" applyAlignment="1">
      <alignment vertical="center" wrapText="1"/>
    </xf>
    <xf numFmtId="0" fontId="35" fillId="9" borderId="5" xfId="0" applyFont="1" applyFill="1" applyBorder="1" applyAlignment="1">
      <alignment vertical="center" wrapText="1"/>
    </xf>
    <xf numFmtId="0" fontId="35" fillId="9" borderId="6" xfId="0" applyFont="1" applyFill="1" applyBorder="1" applyAlignment="1">
      <alignment vertical="center" wrapText="1"/>
    </xf>
    <xf numFmtId="10" fontId="35" fillId="9" borderId="5" xfId="0" applyNumberFormat="1" applyFont="1" applyFill="1" applyBorder="1" applyAlignment="1">
      <alignment vertical="center" wrapText="1"/>
    </xf>
    <xf numFmtId="10" fontId="35" fillId="9" borderId="6" xfId="0" applyNumberFormat="1" applyFont="1" applyFill="1" applyBorder="1" applyAlignment="1">
      <alignment vertical="center" wrapText="1"/>
    </xf>
    <xf numFmtId="0" fontId="58" fillId="0" borderId="0" xfId="0" applyFont="1">
      <alignment vertical="center"/>
    </xf>
    <xf numFmtId="176" fontId="10" fillId="0" borderId="1" xfId="0" applyNumberFormat="1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177" fontId="27" fillId="2" borderId="1" xfId="9" applyNumberFormat="1" applyFont="1" applyFill="1" applyBorder="1" applyAlignment="1" applyProtection="1">
      <alignment horizontal="center" vertical="center"/>
    </xf>
    <xf numFmtId="0" fontId="27" fillId="2" borderId="1" xfId="9" applyFont="1" applyFill="1" applyBorder="1" applyAlignment="1" applyProtection="1">
      <alignment horizontal="center" vertical="center"/>
    </xf>
    <xf numFmtId="0" fontId="59" fillId="2" borderId="1" xfId="0" applyFont="1" applyFill="1" applyBorder="1">
      <alignment vertical="center"/>
    </xf>
    <xf numFmtId="0" fontId="27" fillId="0" borderId="1" xfId="9" applyFont="1" applyFill="1" applyBorder="1" applyAlignment="1" applyProtection="1">
      <alignment horizontal="center" vertical="center"/>
    </xf>
    <xf numFmtId="0" fontId="27" fillId="0" borderId="1" xfId="9" applyFont="1" applyFill="1" applyBorder="1" applyAlignment="1" applyProtection="1">
      <alignment horizontal="center" vertical="center" wrapText="1"/>
    </xf>
    <xf numFmtId="178" fontId="27" fillId="0" borderId="1" xfId="9" applyNumberFormat="1" applyFont="1" applyFill="1" applyBorder="1" applyAlignment="1" applyProtection="1">
      <alignment horizontal="center" vertical="center"/>
    </xf>
    <xf numFmtId="179" fontId="10" fillId="0" borderId="1" xfId="0" applyNumberFormat="1" applyFont="1" applyBorder="1" applyAlignment="1">
      <alignment horizontal="right" vertical="center"/>
    </xf>
    <xf numFmtId="179" fontId="10" fillId="2" borderId="1" xfId="0" applyNumberFormat="1" applyFont="1" applyFill="1" applyBorder="1" applyAlignment="1">
      <alignment horizontal="right" vertical="center"/>
    </xf>
    <xf numFmtId="179" fontId="15" fillId="0" borderId="1" xfId="0" applyNumberFormat="1" applyFont="1" applyBorder="1" applyAlignment="1">
      <alignment horizontal="right" vertical="center"/>
    </xf>
    <xf numFmtId="179" fontId="10" fillId="0" borderId="1" xfId="4" applyNumberFormat="1" applyFont="1" applyBorder="1" applyAlignment="1">
      <alignment horizontal="center" vertical="center"/>
    </xf>
    <xf numFmtId="179" fontId="16" fillId="0" borderId="1" xfId="1" applyNumberFormat="1" applyFont="1" applyBorder="1" applyAlignment="1">
      <alignment horizontal="right" vertical="center"/>
    </xf>
    <xf numFmtId="179" fontId="10" fillId="0" borderId="1" xfId="1" applyNumberFormat="1" applyFont="1" applyBorder="1" applyAlignment="1">
      <alignment horizontal="right" vertical="center"/>
    </xf>
    <xf numFmtId="179" fontId="10" fillId="2" borderId="1" xfId="0" applyNumberFormat="1" applyFont="1" applyFill="1" applyBorder="1" applyAlignment="1">
      <alignment horizontal="center" vertical="center"/>
    </xf>
    <xf numFmtId="179" fontId="16" fillId="2" borderId="1" xfId="1" applyNumberFormat="1" applyFont="1" applyFill="1" applyBorder="1" applyAlignment="1">
      <alignment horizontal="right" vertical="center"/>
    </xf>
    <xf numFmtId="179" fontId="10" fillId="0" borderId="1" xfId="0" applyNumberFormat="1" applyFont="1" applyBorder="1" applyAlignment="1">
      <alignment horizontal="left" vertical="center"/>
    </xf>
    <xf numFmtId="179" fontId="10" fillId="0" borderId="1" xfId="0" applyNumberFormat="1" applyFont="1" applyBorder="1" applyAlignment="1">
      <alignment horizontal="center" vertical="center"/>
    </xf>
    <xf numFmtId="179" fontId="27" fillId="2" borderId="1" xfId="9" applyNumberFormat="1" applyFont="1" applyFill="1" applyBorder="1" applyAlignment="1">
      <alignment horizontal="center" vertical="center"/>
    </xf>
    <xf numFmtId="179" fontId="7" fillId="2" borderId="1" xfId="4" applyNumberFormat="1" applyFont="1" applyFill="1" applyBorder="1">
      <alignment vertical="center"/>
    </xf>
    <xf numFmtId="179" fontId="16" fillId="2" borderId="1" xfId="9" applyNumberFormat="1" applyFont="1" applyFill="1" applyBorder="1" applyAlignment="1">
      <alignment horizontal="center" vertical="center"/>
    </xf>
    <xf numFmtId="179" fontId="33" fillId="0" borderId="1" xfId="0" applyNumberFormat="1" applyFont="1" applyBorder="1" applyAlignment="1">
      <alignment vertical="center" wrapText="1"/>
    </xf>
    <xf numFmtId="179" fontId="34" fillId="0" borderId="1" xfId="0" applyNumberFormat="1" applyFont="1" applyBorder="1">
      <alignment vertical="center"/>
    </xf>
    <xf numFmtId="179" fontId="35" fillId="0" borderId="1" xfId="0" applyNumberFormat="1" applyFont="1" applyBorder="1" applyAlignment="1">
      <alignment horizontal="center" vertical="center" wrapText="1"/>
    </xf>
    <xf numFmtId="179" fontId="10" fillId="0" borderId="0" xfId="0" applyNumberFormat="1" applyFont="1" applyAlignment="1">
      <alignment horizontal="right" vertical="center"/>
    </xf>
    <xf numFmtId="179" fontId="10" fillId="0" borderId="0" xfId="0" applyNumberFormat="1" applyFont="1" applyAlignment="1">
      <alignment horizontal="center" vertical="center"/>
    </xf>
    <xf numFmtId="179" fontId="53" fillId="6" borderId="4" xfId="0" applyNumberFormat="1" applyFont="1" applyFill="1" applyBorder="1" applyAlignment="1">
      <alignment horizontal="center" vertical="center" wrapText="1"/>
    </xf>
    <xf numFmtId="179" fontId="35" fillId="7" borderId="4" xfId="0" applyNumberFormat="1" applyFont="1" applyFill="1" applyBorder="1" applyAlignment="1">
      <alignment horizontal="right" vertical="center" wrapText="1"/>
    </xf>
    <xf numFmtId="179" fontId="35" fillId="9" borderId="4" xfId="0" applyNumberFormat="1" applyFont="1" applyFill="1" applyBorder="1" applyAlignment="1">
      <alignment horizontal="right" vertical="center" wrapText="1"/>
    </xf>
    <xf numFmtId="179" fontId="35" fillId="8" borderId="4" xfId="0" applyNumberFormat="1" applyFont="1" applyFill="1" applyBorder="1" applyAlignment="1">
      <alignment horizontal="right" vertical="center" wrapText="1"/>
    </xf>
    <xf numFmtId="179" fontId="35" fillId="8" borderId="4" xfId="0" applyNumberFormat="1" applyFont="1" applyFill="1" applyBorder="1" applyAlignment="1">
      <alignment vertical="center" wrapText="1"/>
    </xf>
    <xf numFmtId="179" fontId="35" fillId="9" borderId="4" xfId="0" applyNumberFormat="1" applyFont="1" applyFill="1" applyBorder="1" applyAlignment="1">
      <alignment vertical="center" wrapText="1"/>
    </xf>
    <xf numFmtId="179" fontId="35" fillId="7" borderId="4" xfId="0" applyNumberFormat="1" applyFont="1" applyFill="1" applyBorder="1" applyAlignment="1">
      <alignment vertical="center" wrapText="1"/>
    </xf>
    <xf numFmtId="179" fontId="9" fillId="8" borderId="4" xfId="0" applyNumberFormat="1" applyFont="1" applyFill="1" applyBorder="1" applyAlignment="1">
      <alignment vertical="center" wrapText="1"/>
    </xf>
    <xf numFmtId="179" fontId="41" fillId="9" borderId="5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1" fillId="0" borderId="1" xfId="0" applyFont="1" applyBorder="1" applyAlignment="1">
      <alignment vertical="top"/>
    </xf>
    <xf numFmtId="49" fontId="29" fillId="5" borderId="7" xfId="0" applyNumberFormat="1" applyFont="1" applyFill="1" applyBorder="1" applyAlignment="1"/>
    <xf numFmtId="0" fontId="10" fillId="2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</cellXfs>
  <cellStyles count="11">
    <cellStyle name="??&amp;_x0012_?&amp;_x000b_?_x0008_*_x0007_?_x0007__x0001__x0001_" xfId="2" xr:uid="{00000000-0005-0000-0000-000000000000}"/>
    <cellStyle name="??&amp;_x0012_?&amp;_x000b_?_x0008_*_x0007_?_x0007__x0001__x0001_ 2" xfId="3" xr:uid="{00000000-0005-0000-0000-000001000000}"/>
    <cellStyle name="一般" xfId="0" builtinId="0"/>
    <cellStyle name="一般 13" xfId="8" xr:uid="{00000000-0005-0000-0000-000003000000}"/>
    <cellStyle name="一般 2" xfId="1" xr:uid="{00000000-0005-0000-0000-000004000000}"/>
    <cellStyle name="一般 2 2" xfId="4" xr:uid="{00000000-0005-0000-0000-000005000000}"/>
    <cellStyle name="一般 2 2 2" xfId="10" xr:uid="{32AA6A25-C04C-4B09-8935-AEA8C2E38ADA}"/>
    <cellStyle name="一般 2 3" xfId="9" xr:uid="{C2B6F697-EFFB-499F-994B-3503280000DD}"/>
    <cellStyle name="一般 3" xfId="5" xr:uid="{00000000-0005-0000-0000-000006000000}"/>
    <cellStyle name="百分比 2" xfId="6" xr:uid="{00000000-0005-0000-0000-000007000000}"/>
    <cellStyle name="百分比 3" xfId="7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179918</xdr:colOff>
      <xdr:row>40</xdr:row>
      <xdr:rowOff>229202</xdr:rowOff>
    </xdr:from>
    <xdr:to>
      <xdr:col>23</xdr:col>
      <xdr:colOff>145860</xdr:colOff>
      <xdr:row>45</xdr:row>
      <xdr:rowOff>352779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C63EBF4-D4B1-40E1-9C05-D07D7552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1" y="17278952"/>
          <a:ext cx="4961276" cy="2028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5AB-48A8-442B-BCBB-788B9B3455B3}">
  <dimension ref="A2:A3"/>
  <sheetViews>
    <sheetView workbookViewId="0">
      <selection activeCell="A4" sqref="A4"/>
    </sheetView>
  </sheetViews>
  <sheetFormatPr defaultRowHeight="17"/>
  <cols>
    <col min="1" max="1" width="52.08984375" customWidth="1"/>
  </cols>
  <sheetData>
    <row r="2" spans="1:1">
      <c r="A2" s="59" t="s">
        <v>0</v>
      </c>
    </row>
    <row r="3" spans="1:1">
      <c r="A3" s="59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76"/>
  <sheetViews>
    <sheetView topLeftCell="A34" zoomScale="70" zoomScaleNormal="70" workbookViewId="0">
      <selection activeCell="E55" sqref="E55"/>
    </sheetView>
  </sheetViews>
  <sheetFormatPr defaultColWidth="8.90625" defaultRowHeight="15.5"/>
  <cols>
    <col min="1" max="1" width="8.90625" style="8"/>
    <col min="2" max="2" width="32.26953125" style="9" customWidth="1"/>
    <col min="3" max="3" width="18.90625" style="8" customWidth="1"/>
    <col min="4" max="4" width="11.08984375" style="9" customWidth="1"/>
    <col min="5" max="5" width="72" style="13" customWidth="1"/>
    <col min="6" max="6" width="51.453125" style="9" customWidth="1"/>
    <col min="7" max="7" width="18.26953125" style="9" customWidth="1"/>
    <col min="8" max="8" width="12.453125" style="9" customWidth="1"/>
    <col min="9" max="9" width="17.90625" style="9" customWidth="1"/>
    <col min="10" max="10" width="32.90625" style="8" customWidth="1"/>
    <col min="11" max="16384" width="8.90625" style="8"/>
  </cols>
  <sheetData>
    <row r="1" spans="1:10" s="9" customFormat="1" ht="34.4" customHeight="1">
      <c r="A1" s="6" t="s">
        <v>2</v>
      </c>
      <c r="B1" s="6" t="s">
        <v>3</v>
      </c>
      <c r="C1" s="6" t="s">
        <v>4</v>
      </c>
      <c r="D1" s="6" t="s">
        <v>5</v>
      </c>
      <c r="E1" s="24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</row>
    <row r="2" spans="1:10" ht="30" customHeight="1">
      <c r="A2" s="6">
        <v>1</v>
      </c>
      <c r="B2" s="6"/>
      <c r="C2" s="7">
        <v>49.2</v>
      </c>
      <c r="D2" s="6" t="s">
        <v>12</v>
      </c>
      <c r="E2" s="12" t="s">
        <v>13</v>
      </c>
      <c r="F2" s="25" t="s">
        <v>14</v>
      </c>
      <c r="G2" s="6" t="s">
        <v>15</v>
      </c>
      <c r="H2" s="6" t="s">
        <v>16</v>
      </c>
      <c r="I2" s="6"/>
      <c r="J2" s="7"/>
    </row>
    <row r="3" spans="1:10" ht="30" customHeight="1">
      <c r="A3" s="6">
        <v>2</v>
      </c>
      <c r="B3" s="6"/>
      <c r="C3" s="7">
        <v>48</v>
      </c>
      <c r="D3" s="6" t="s">
        <v>12</v>
      </c>
      <c r="E3" s="12" t="s">
        <v>17</v>
      </c>
      <c r="F3" s="25" t="s">
        <v>18</v>
      </c>
      <c r="G3" s="6" t="s">
        <v>15</v>
      </c>
      <c r="H3" s="6" t="s">
        <v>16</v>
      </c>
      <c r="I3" s="6"/>
      <c r="J3" s="7"/>
    </row>
    <row r="4" spans="1:10" ht="30" customHeight="1">
      <c r="A4" s="6">
        <v>3</v>
      </c>
      <c r="B4" s="15">
        <v>299</v>
      </c>
      <c r="C4" s="16">
        <v>100</v>
      </c>
      <c r="D4" s="15" t="s">
        <v>12</v>
      </c>
      <c r="E4" s="17" t="s">
        <v>19</v>
      </c>
      <c r="F4" s="26" t="s">
        <v>20</v>
      </c>
      <c r="G4" s="21" t="s">
        <v>21</v>
      </c>
      <c r="H4" s="6" t="s">
        <v>16</v>
      </c>
      <c r="I4" s="15"/>
      <c r="J4" s="7"/>
    </row>
    <row r="5" spans="1:10" ht="30" customHeight="1">
      <c r="A5" s="6">
        <v>4</v>
      </c>
      <c r="B5" s="15">
        <v>299</v>
      </c>
      <c r="C5" s="16">
        <v>108</v>
      </c>
      <c r="D5" s="15" t="s">
        <v>12</v>
      </c>
      <c r="E5" s="17" t="s">
        <v>22</v>
      </c>
      <c r="F5" s="26" t="s">
        <v>23</v>
      </c>
      <c r="G5" s="21" t="s">
        <v>21</v>
      </c>
      <c r="H5" s="6" t="s">
        <v>16</v>
      </c>
      <c r="I5" s="15"/>
      <c r="J5" s="7"/>
    </row>
    <row r="6" spans="1:10" ht="30" customHeight="1">
      <c r="A6" s="6">
        <v>5</v>
      </c>
      <c r="B6" s="15">
        <v>299</v>
      </c>
      <c r="C6" s="16">
        <v>121</v>
      </c>
      <c r="D6" s="15" t="s">
        <v>12</v>
      </c>
      <c r="E6" s="17" t="s">
        <v>24</v>
      </c>
      <c r="F6" s="26" t="s">
        <v>25</v>
      </c>
      <c r="G6" s="21" t="s">
        <v>21</v>
      </c>
      <c r="H6" s="6" t="s">
        <v>16</v>
      </c>
      <c r="I6" s="15"/>
      <c r="J6" s="7"/>
    </row>
    <row r="7" spans="1:10" ht="30" customHeight="1">
      <c r="A7" s="6">
        <v>6</v>
      </c>
      <c r="B7" s="15">
        <v>299</v>
      </c>
      <c r="C7" s="16">
        <v>122</v>
      </c>
      <c r="D7" s="15" t="s">
        <v>12</v>
      </c>
      <c r="E7" s="17" t="s">
        <v>26</v>
      </c>
      <c r="F7" s="26" t="s">
        <v>27</v>
      </c>
      <c r="G7" s="21" t="s">
        <v>21</v>
      </c>
      <c r="H7" s="6" t="s">
        <v>16</v>
      </c>
      <c r="I7" s="15"/>
      <c r="J7" s="7"/>
    </row>
    <row r="8" spans="1:10" ht="30" customHeight="1">
      <c r="A8" s="6">
        <v>7</v>
      </c>
      <c r="B8" s="6"/>
      <c r="C8" s="7">
        <v>214</v>
      </c>
      <c r="D8" s="6" t="s">
        <v>12</v>
      </c>
      <c r="E8" s="12" t="s">
        <v>28</v>
      </c>
      <c r="F8" s="25" t="s">
        <v>29</v>
      </c>
      <c r="G8" s="6" t="s">
        <v>15</v>
      </c>
      <c r="H8" s="6" t="s">
        <v>16</v>
      </c>
      <c r="I8" s="6"/>
      <c r="J8" s="7"/>
    </row>
    <row r="9" spans="1:10" ht="30" customHeight="1">
      <c r="A9" s="6">
        <v>8</v>
      </c>
      <c r="B9" s="6"/>
      <c r="C9" s="7">
        <v>214</v>
      </c>
      <c r="D9" s="6" t="s">
        <v>12</v>
      </c>
      <c r="E9" s="12" t="s">
        <v>30</v>
      </c>
      <c r="F9" s="25" t="s">
        <v>31</v>
      </c>
      <c r="G9" s="6" t="s">
        <v>15</v>
      </c>
      <c r="H9" s="6" t="s">
        <v>16</v>
      </c>
      <c r="I9" s="6"/>
      <c r="J9" s="7"/>
    </row>
    <row r="10" spans="1:10" ht="30" customHeight="1">
      <c r="A10" s="6">
        <v>9</v>
      </c>
      <c r="B10" s="6"/>
      <c r="C10" s="7">
        <v>378</v>
      </c>
      <c r="D10" s="6" t="s">
        <v>12</v>
      </c>
      <c r="E10" s="12" t="s">
        <v>32</v>
      </c>
      <c r="F10" s="25" t="s">
        <v>33</v>
      </c>
      <c r="G10" s="6" t="s">
        <v>15</v>
      </c>
      <c r="H10" s="6" t="s">
        <v>16</v>
      </c>
      <c r="I10" s="6"/>
      <c r="J10" s="7"/>
    </row>
    <row r="11" spans="1:10" ht="30" customHeight="1">
      <c r="A11" s="6">
        <v>10</v>
      </c>
      <c r="B11" s="6"/>
      <c r="C11" s="7">
        <v>379</v>
      </c>
      <c r="D11" s="6" t="s">
        <v>12</v>
      </c>
      <c r="E11" s="12" t="s">
        <v>34</v>
      </c>
      <c r="F11" s="25" t="s">
        <v>35</v>
      </c>
      <c r="G11" s="6" t="s">
        <v>15</v>
      </c>
      <c r="H11" s="6" t="s">
        <v>16</v>
      </c>
      <c r="I11" s="6"/>
      <c r="J11" s="7"/>
    </row>
    <row r="12" spans="1:10" ht="30" customHeight="1">
      <c r="A12" s="6">
        <v>11</v>
      </c>
      <c r="B12" s="6"/>
      <c r="C12" s="7">
        <v>9450</v>
      </c>
      <c r="D12" s="6" t="s">
        <v>12</v>
      </c>
      <c r="E12" s="12" t="s">
        <v>36</v>
      </c>
      <c r="F12" s="25" t="s">
        <v>37</v>
      </c>
      <c r="G12" s="6" t="s">
        <v>21</v>
      </c>
      <c r="H12" s="6" t="s">
        <v>16</v>
      </c>
      <c r="I12" s="6"/>
      <c r="J12" s="7"/>
    </row>
    <row r="13" spans="1:10" ht="30" customHeight="1">
      <c r="A13" s="6">
        <v>12</v>
      </c>
      <c r="B13" s="18"/>
      <c r="C13" s="19">
        <v>305</v>
      </c>
      <c r="D13" s="18" t="s">
        <v>12</v>
      </c>
      <c r="E13" s="20" t="s">
        <v>38</v>
      </c>
      <c r="F13" s="27" t="s">
        <v>39</v>
      </c>
      <c r="G13" s="22" t="s">
        <v>15</v>
      </c>
      <c r="H13" s="6" t="s">
        <v>16</v>
      </c>
      <c r="I13" s="18"/>
      <c r="J13" s="7"/>
    </row>
    <row r="14" spans="1:10" ht="30" customHeight="1">
      <c r="A14" s="6">
        <v>13</v>
      </c>
      <c r="B14" s="18"/>
      <c r="C14" s="19">
        <v>307</v>
      </c>
      <c r="D14" s="18" t="s">
        <v>12</v>
      </c>
      <c r="E14" s="20" t="s">
        <v>40</v>
      </c>
      <c r="F14" s="27" t="s">
        <v>41</v>
      </c>
      <c r="G14" s="22" t="s">
        <v>15</v>
      </c>
      <c r="H14" s="6" t="s">
        <v>16</v>
      </c>
      <c r="I14" s="18"/>
      <c r="J14" s="7"/>
    </row>
    <row r="15" spans="1:10" ht="30" customHeight="1">
      <c r="A15" s="6">
        <v>14</v>
      </c>
      <c r="B15" s="18"/>
      <c r="C15" s="19">
        <v>73</v>
      </c>
      <c r="D15" s="18" t="s">
        <v>12</v>
      </c>
      <c r="E15" s="20" t="s">
        <v>42</v>
      </c>
      <c r="F15" s="27" t="s">
        <v>43</v>
      </c>
      <c r="G15" s="22" t="s">
        <v>15</v>
      </c>
      <c r="H15" s="6" t="s">
        <v>16</v>
      </c>
      <c r="I15" s="18"/>
      <c r="J15" s="7"/>
    </row>
    <row r="16" spans="1:10" ht="30" customHeight="1">
      <c r="A16" s="6">
        <v>15</v>
      </c>
      <c r="B16" s="18"/>
      <c r="C16" s="19">
        <v>71.599999999999994</v>
      </c>
      <c r="D16" s="18" t="s">
        <v>12</v>
      </c>
      <c r="E16" s="20" t="s">
        <v>44</v>
      </c>
      <c r="F16" s="27" t="s">
        <v>45</v>
      </c>
      <c r="G16" s="22" t="s">
        <v>15</v>
      </c>
      <c r="H16" s="6" t="s">
        <v>16</v>
      </c>
      <c r="I16" s="18"/>
      <c r="J16" s="7"/>
    </row>
    <row r="17" spans="1:10" ht="30" customHeight="1">
      <c r="A17" s="6">
        <v>16</v>
      </c>
      <c r="B17" s="49"/>
      <c r="C17" s="14">
        <v>5.67</v>
      </c>
      <c r="D17" s="7" t="s">
        <v>12</v>
      </c>
      <c r="E17" s="7" t="s">
        <v>46</v>
      </c>
      <c r="F17" s="50" t="s">
        <v>47</v>
      </c>
      <c r="G17" s="7" t="s">
        <v>15</v>
      </c>
      <c r="H17" s="6" t="s">
        <v>16</v>
      </c>
    </row>
    <row r="18" spans="1:10" ht="30" customHeight="1">
      <c r="A18" s="6">
        <v>17</v>
      </c>
      <c r="B18" s="49"/>
      <c r="C18" s="14">
        <v>11.8</v>
      </c>
      <c r="D18" s="7" t="s">
        <v>12</v>
      </c>
      <c r="E18" s="7" t="s">
        <v>48</v>
      </c>
      <c r="F18" s="51" t="s">
        <v>49</v>
      </c>
      <c r="G18" s="7" t="s">
        <v>15</v>
      </c>
      <c r="H18" s="6" t="s">
        <v>16</v>
      </c>
    </row>
    <row r="19" spans="1:10" ht="30" customHeight="1">
      <c r="A19" s="6">
        <v>18</v>
      </c>
      <c r="B19" s="49"/>
      <c r="C19" s="14">
        <v>5.17</v>
      </c>
      <c r="D19" s="7" t="s">
        <v>12</v>
      </c>
      <c r="E19" s="7" t="s">
        <v>50</v>
      </c>
      <c r="F19" s="51" t="s">
        <v>51</v>
      </c>
      <c r="G19" s="7" t="s">
        <v>15</v>
      </c>
      <c r="H19" s="6" t="s">
        <v>16</v>
      </c>
    </row>
    <row r="20" spans="1:10" ht="30" customHeight="1">
      <c r="A20" s="6">
        <v>19</v>
      </c>
      <c r="B20" s="49"/>
      <c r="C20" s="14">
        <v>38.200000000000003</v>
      </c>
      <c r="D20" s="7" t="s">
        <v>12</v>
      </c>
      <c r="E20" s="7" t="s">
        <v>52</v>
      </c>
      <c r="F20" s="51" t="s">
        <v>53</v>
      </c>
      <c r="G20" s="7" t="s">
        <v>15</v>
      </c>
      <c r="H20" s="6" t="s">
        <v>16</v>
      </c>
    </row>
    <row r="21" spans="1:10" ht="30" customHeight="1">
      <c r="A21" s="6">
        <v>20</v>
      </c>
      <c r="B21" s="49" t="s">
        <v>54</v>
      </c>
      <c r="C21" s="14">
        <v>62.7</v>
      </c>
      <c r="D21" s="7" t="s">
        <v>12</v>
      </c>
      <c r="E21" s="7" t="s">
        <v>55</v>
      </c>
      <c r="F21" s="51" t="s">
        <v>56</v>
      </c>
      <c r="G21" s="7" t="s">
        <v>15</v>
      </c>
      <c r="H21" s="6" t="s">
        <v>16</v>
      </c>
    </row>
    <row r="22" spans="1:10" ht="30" customHeight="1">
      <c r="A22" s="6">
        <v>21</v>
      </c>
      <c r="B22" s="49" t="s">
        <v>54</v>
      </c>
      <c r="C22" s="14">
        <v>50.4</v>
      </c>
      <c r="D22" s="7" t="s">
        <v>12</v>
      </c>
      <c r="E22" s="7" t="s">
        <v>57</v>
      </c>
      <c r="F22" s="51" t="s">
        <v>58</v>
      </c>
      <c r="G22" s="7" t="s">
        <v>15</v>
      </c>
      <c r="H22" s="6" t="s">
        <v>16</v>
      </c>
    </row>
    <row r="23" spans="1:10">
      <c r="A23" s="6">
        <v>22</v>
      </c>
      <c r="B23" s="49" t="s">
        <v>59</v>
      </c>
      <c r="C23" s="14">
        <v>46.8</v>
      </c>
      <c r="D23" s="7" t="s">
        <v>12</v>
      </c>
      <c r="E23" s="7" t="s">
        <v>60</v>
      </c>
      <c r="F23" s="51" t="s">
        <v>61</v>
      </c>
      <c r="G23" s="7" t="s">
        <v>15</v>
      </c>
      <c r="H23" s="6" t="s">
        <v>16</v>
      </c>
      <c r="J23" s="8" t="s">
        <v>62</v>
      </c>
    </row>
    <row r="24" spans="1:10">
      <c r="A24" s="6">
        <v>23</v>
      </c>
      <c r="B24" s="49" t="s">
        <v>63</v>
      </c>
      <c r="C24" s="14">
        <v>81.8</v>
      </c>
      <c r="D24" s="7" t="s">
        <v>12</v>
      </c>
      <c r="E24" s="7" t="s">
        <v>64</v>
      </c>
      <c r="F24" s="51" t="s">
        <v>65</v>
      </c>
      <c r="G24" s="7" t="s">
        <v>15</v>
      </c>
      <c r="H24" s="6" t="s">
        <v>16</v>
      </c>
      <c r="J24" s="8" t="s">
        <v>66</v>
      </c>
    </row>
    <row r="25" spans="1:10">
      <c r="A25" s="6">
        <v>24</v>
      </c>
      <c r="B25" s="49" t="s">
        <v>67</v>
      </c>
      <c r="C25" s="14">
        <v>156</v>
      </c>
      <c r="D25" s="7" t="s">
        <v>12</v>
      </c>
      <c r="E25" s="7" t="s">
        <v>68</v>
      </c>
      <c r="F25" s="51" t="s">
        <v>69</v>
      </c>
      <c r="G25" s="7" t="s">
        <v>15</v>
      </c>
      <c r="H25" s="6" t="s">
        <v>16</v>
      </c>
      <c r="J25" s="8" t="s">
        <v>62</v>
      </c>
    </row>
    <row r="26" spans="1:10">
      <c r="A26" s="6">
        <v>25</v>
      </c>
      <c r="B26" s="49" t="s">
        <v>70</v>
      </c>
      <c r="C26" s="14">
        <v>4.97</v>
      </c>
      <c r="D26" s="7" t="s">
        <v>12</v>
      </c>
      <c r="E26" s="7" t="s">
        <v>71</v>
      </c>
      <c r="F26" s="51" t="s">
        <v>72</v>
      </c>
      <c r="G26" s="7" t="s">
        <v>15</v>
      </c>
      <c r="H26" s="6" t="s">
        <v>16</v>
      </c>
    </row>
    <row r="27" spans="1:10">
      <c r="A27" s="6">
        <v>26</v>
      </c>
      <c r="B27" s="49"/>
      <c r="C27" s="14">
        <v>3.78</v>
      </c>
      <c r="D27" s="7" t="s">
        <v>12</v>
      </c>
      <c r="E27" s="7" t="s">
        <v>73</v>
      </c>
      <c r="F27" s="51" t="s">
        <v>74</v>
      </c>
      <c r="G27" s="7" t="s">
        <v>75</v>
      </c>
      <c r="H27" s="6" t="s">
        <v>16</v>
      </c>
    </row>
    <row r="28" spans="1:10">
      <c r="A28" s="6">
        <v>27</v>
      </c>
      <c r="B28" s="49" t="s">
        <v>76</v>
      </c>
      <c r="C28" s="14">
        <v>248</v>
      </c>
      <c r="D28" s="7" t="s">
        <v>12</v>
      </c>
      <c r="E28" s="7" t="s">
        <v>77</v>
      </c>
      <c r="F28" s="51" t="s">
        <v>78</v>
      </c>
      <c r="G28" s="7" t="s">
        <v>15</v>
      </c>
      <c r="H28" s="6" t="s">
        <v>16</v>
      </c>
    </row>
    <row r="29" spans="1:10">
      <c r="A29" s="6">
        <v>28</v>
      </c>
      <c r="B29" s="49" t="s">
        <v>79</v>
      </c>
      <c r="C29" s="14">
        <v>254</v>
      </c>
      <c r="D29" s="7" t="s">
        <v>12</v>
      </c>
      <c r="E29" s="7" t="s">
        <v>80</v>
      </c>
      <c r="F29" s="51" t="s">
        <v>81</v>
      </c>
      <c r="G29" s="7" t="s">
        <v>15</v>
      </c>
      <c r="H29" s="6" t="s">
        <v>16</v>
      </c>
    </row>
    <row r="30" spans="1:10">
      <c r="A30" s="6">
        <v>29</v>
      </c>
      <c r="B30" s="49"/>
      <c r="C30" s="14">
        <v>252</v>
      </c>
      <c r="D30" s="7" t="s">
        <v>12</v>
      </c>
      <c r="E30" s="7" t="s">
        <v>82</v>
      </c>
      <c r="F30" s="51" t="s">
        <v>83</v>
      </c>
      <c r="G30" s="7" t="s">
        <v>15</v>
      </c>
      <c r="H30" s="6" t="s">
        <v>16</v>
      </c>
    </row>
    <row r="31" spans="1:10">
      <c r="A31" s="6">
        <v>30</v>
      </c>
      <c r="B31" s="49" t="s">
        <v>84</v>
      </c>
      <c r="C31" s="52">
        <v>1230</v>
      </c>
      <c r="D31" s="7" t="s">
        <v>12</v>
      </c>
      <c r="E31" s="7" t="s">
        <v>85</v>
      </c>
      <c r="F31" s="51" t="s">
        <v>86</v>
      </c>
      <c r="G31" s="7" t="s">
        <v>15</v>
      </c>
      <c r="H31" s="6" t="s">
        <v>16</v>
      </c>
    </row>
    <row r="32" spans="1:10">
      <c r="A32" s="6">
        <v>31</v>
      </c>
      <c r="B32" s="49" t="s">
        <v>87</v>
      </c>
      <c r="C32" s="14">
        <v>53.8</v>
      </c>
      <c r="D32" s="7" t="s">
        <v>12</v>
      </c>
      <c r="E32" s="7" t="s">
        <v>88</v>
      </c>
      <c r="F32" s="51" t="s">
        <v>89</v>
      </c>
      <c r="G32" s="7" t="s">
        <v>15</v>
      </c>
      <c r="H32" s="6" t="s">
        <v>16</v>
      </c>
      <c r="J32" s="8" t="s">
        <v>90</v>
      </c>
    </row>
    <row r="33" spans="1:8">
      <c r="A33" s="6">
        <v>32</v>
      </c>
      <c r="B33" s="49" t="s">
        <v>91</v>
      </c>
      <c r="C33" s="14">
        <v>62.3</v>
      </c>
      <c r="D33" s="7" t="s">
        <v>12</v>
      </c>
      <c r="E33" s="7" t="s">
        <v>92</v>
      </c>
      <c r="F33" s="51" t="s">
        <v>93</v>
      </c>
      <c r="G33" s="7" t="s">
        <v>15</v>
      </c>
      <c r="H33" s="6" t="s">
        <v>16</v>
      </c>
    </row>
    <row r="34" spans="1:8">
      <c r="A34" s="6">
        <v>33</v>
      </c>
      <c r="B34" s="49" t="s">
        <v>94</v>
      </c>
      <c r="C34" s="14">
        <v>32</v>
      </c>
      <c r="D34" s="7" t="s">
        <v>12</v>
      </c>
      <c r="E34" s="7" t="s">
        <v>95</v>
      </c>
      <c r="F34" s="51" t="s">
        <v>96</v>
      </c>
      <c r="G34" s="7" t="s">
        <v>15</v>
      </c>
      <c r="H34" s="6" t="s">
        <v>16</v>
      </c>
    </row>
    <row r="35" spans="1:8">
      <c r="A35" s="6">
        <v>34</v>
      </c>
      <c r="B35" s="49"/>
      <c r="C35" s="14">
        <v>1.75</v>
      </c>
      <c r="D35" s="7" t="s">
        <v>12</v>
      </c>
      <c r="E35" s="7" t="s">
        <v>97</v>
      </c>
      <c r="F35" s="51" t="s">
        <v>98</v>
      </c>
      <c r="G35" s="7" t="s">
        <v>15</v>
      </c>
      <c r="H35" s="6" t="s">
        <v>16</v>
      </c>
    </row>
    <row r="36" spans="1:8">
      <c r="A36" s="6">
        <v>35</v>
      </c>
      <c r="B36" s="49"/>
      <c r="C36" s="14">
        <v>1.28</v>
      </c>
      <c r="D36" s="7" t="s">
        <v>12</v>
      </c>
      <c r="E36" s="7" t="s">
        <v>99</v>
      </c>
      <c r="F36" s="51" t="s">
        <v>100</v>
      </c>
      <c r="G36" s="7" t="s">
        <v>15</v>
      </c>
      <c r="H36" s="6" t="s">
        <v>16</v>
      </c>
    </row>
    <row r="37" spans="1:8">
      <c r="A37" s="6">
        <v>36</v>
      </c>
      <c r="B37" s="49" t="s">
        <v>101</v>
      </c>
      <c r="C37" s="14">
        <v>4.51</v>
      </c>
      <c r="D37" s="7" t="s">
        <v>12</v>
      </c>
      <c r="E37" s="7" t="s">
        <v>102</v>
      </c>
      <c r="F37" s="51" t="s">
        <v>103</v>
      </c>
      <c r="G37" s="7" t="s">
        <v>15</v>
      </c>
      <c r="H37" s="6" t="s">
        <v>16</v>
      </c>
    </row>
    <row r="38" spans="1:8">
      <c r="A38" s="6">
        <v>37</v>
      </c>
      <c r="B38" s="49" t="s">
        <v>104</v>
      </c>
      <c r="C38" s="14">
        <v>36.799999999999997</v>
      </c>
      <c r="D38" s="7" t="s">
        <v>12</v>
      </c>
      <c r="E38" s="7" t="s">
        <v>105</v>
      </c>
      <c r="F38" s="51" t="s">
        <v>106</v>
      </c>
      <c r="G38" s="7" t="s">
        <v>15</v>
      </c>
      <c r="H38" s="6" t="s">
        <v>16</v>
      </c>
    </row>
    <row r="39" spans="1:8">
      <c r="A39" s="6">
        <v>38</v>
      </c>
      <c r="B39" s="49" t="s">
        <v>104</v>
      </c>
      <c r="C39" s="14">
        <v>40.299999999999997</v>
      </c>
      <c r="D39" s="7" t="s">
        <v>12</v>
      </c>
      <c r="E39" s="7" t="s">
        <v>107</v>
      </c>
      <c r="F39" s="51" t="s">
        <v>108</v>
      </c>
      <c r="G39" s="7" t="s">
        <v>15</v>
      </c>
      <c r="H39" s="6" t="s">
        <v>16</v>
      </c>
    </row>
    <row r="40" spans="1:8">
      <c r="A40" s="6">
        <v>39</v>
      </c>
      <c r="B40" s="49" t="s">
        <v>104</v>
      </c>
      <c r="C40" s="14">
        <v>99.7</v>
      </c>
      <c r="D40" s="7" t="s">
        <v>12</v>
      </c>
      <c r="E40" s="7" t="s">
        <v>109</v>
      </c>
      <c r="F40" s="51" t="s">
        <v>110</v>
      </c>
      <c r="G40" s="7" t="s">
        <v>15</v>
      </c>
      <c r="H40" s="6" t="s">
        <v>16</v>
      </c>
    </row>
    <row r="41" spans="1:8">
      <c r="A41" s="6">
        <v>40</v>
      </c>
      <c r="B41" s="49" t="s">
        <v>104</v>
      </c>
      <c r="C41" s="14">
        <v>45.7</v>
      </c>
      <c r="D41" s="7" t="s">
        <v>12</v>
      </c>
      <c r="E41" s="7" t="s">
        <v>111</v>
      </c>
      <c r="F41" s="51" t="s">
        <v>112</v>
      </c>
      <c r="G41" s="7" t="s">
        <v>15</v>
      </c>
      <c r="H41" s="6" t="s">
        <v>16</v>
      </c>
    </row>
    <row r="42" spans="1:8">
      <c r="A42" s="6">
        <v>41</v>
      </c>
      <c r="B42" s="49" t="s">
        <v>113</v>
      </c>
      <c r="C42" s="14">
        <v>11.1</v>
      </c>
      <c r="D42" s="7" t="s">
        <v>12</v>
      </c>
      <c r="E42" s="7" t="s">
        <v>114</v>
      </c>
      <c r="F42" s="51" t="s">
        <v>115</v>
      </c>
      <c r="G42" s="7" t="s">
        <v>15</v>
      </c>
      <c r="H42" s="6" t="s">
        <v>16</v>
      </c>
    </row>
    <row r="43" spans="1:8">
      <c r="A43" s="6">
        <v>42</v>
      </c>
      <c r="B43" s="49" t="s">
        <v>625</v>
      </c>
      <c r="C43" s="52">
        <v>1560</v>
      </c>
      <c r="D43" s="7" t="s">
        <v>12</v>
      </c>
      <c r="E43" s="7" t="s">
        <v>116</v>
      </c>
      <c r="F43" s="51" t="s">
        <v>117</v>
      </c>
      <c r="G43" s="7" t="s">
        <v>15</v>
      </c>
      <c r="H43" s="6" t="s">
        <v>16</v>
      </c>
    </row>
    <row r="44" spans="1:8">
      <c r="A44" s="6">
        <v>43</v>
      </c>
      <c r="B44" s="49" t="s">
        <v>118</v>
      </c>
      <c r="C44" s="52">
        <v>1100</v>
      </c>
      <c r="D44" s="7" t="s">
        <v>12</v>
      </c>
      <c r="E44" s="7" t="s">
        <v>119</v>
      </c>
      <c r="F44" s="51" t="s">
        <v>120</v>
      </c>
      <c r="G44" s="7" t="s">
        <v>15</v>
      </c>
      <c r="H44" s="6" t="s">
        <v>16</v>
      </c>
    </row>
    <row r="45" spans="1:8">
      <c r="A45" s="6">
        <v>44</v>
      </c>
      <c r="B45" s="49" t="s">
        <v>121</v>
      </c>
      <c r="C45" s="14">
        <v>252</v>
      </c>
      <c r="D45" s="7" t="s">
        <v>12</v>
      </c>
      <c r="E45" s="7" t="s">
        <v>122</v>
      </c>
      <c r="F45" s="51" t="s">
        <v>123</v>
      </c>
      <c r="G45" s="7" t="s">
        <v>15</v>
      </c>
      <c r="H45" s="6" t="s">
        <v>16</v>
      </c>
    </row>
    <row r="46" spans="1:8">
      <c r="A46" s="6">
        <v>45</v>
      </c>
      <c r="B46" s="49" t="s">
        <v>124</v>
      </c>
      <c r="C46" s="14">
        <v>2.13</v>
      </c>
      <c r="D46" s="7" t="s">
        <v>12</v>
      </c>
      <c r="E46" s="7" t="s">
        <v>125</v>
      </c>
      <c r="F46" s="51" t="s">
        <v>126</v>
      </c>
      <c r="G46" s="7" t="s">
        <v>15</v>
      </c>
      <c r="H46" s="6" t="s">
        <v>16</v>
      </c>
    </row>
    <row r="47" spans="1:8">
      <c r="A47" s="6">
        <v>46</v>
      </c>
      <c r="B47" s="49"/>
      <c r="C47" s="14">
        <v>32.299999999999997</v>
      </c>
      <c r="D47" s="7" t="s">
        <v>12</v>
      </c>
      <c r="E47" s="7" t="s">
        <v>127</v>
      </c>
      <c r="F47" s="51" t="s">
        <v>128</v>
      </c>
      <c r="G47" s="7" t="s">
        <v>15</v>
      </c>
      <c r="H47" s="6" t="s">
        <v>16</v>
      </c>
    </row>
    <row r="48" spans="1:8">
      <c r="A48" s="6">
        <v>47</v>
      </c>
      <c r="B48" s="49"/>
      <c r="C48" s="14">
        <v>0.39900000000000002</v>
      </c>
      <c r="D48" s="7" t="s">
        <v>12</v>
      </c>
      <c r="E48" s="7" t="s">
        <v>129</v>
      </c>
      <c r="F48" s="51" t="s">
        <v>130</v>
      </c>
      <c r="G48" s="7" t="s">
        <v>75</v>
      </c>
      <c r="H48" s="6" t="s">
        <v>16</v>
      </c>
    </row>
    <row r="49" spans="1:10">
      <c r="A49" s="6">
        <v>48</v>
      </c>
      <c r="B49" s="49" t="s">
        <v>131</v>
      </c>
      <c r="C49" s="14">
        <v>6.25E-2</v>
      </c>
      <c r="D49" s="7" t="s">
        <v>12</v>
      </c>
      <c r="E49" s="7" t="s">
        <v>132</v>
      </c>
      <c r="F49" s="51" t="s">
        <v>133</v>
      </c>
      <c r="G49" s="7" t="s">
        <v>75</v>
      </c>
      <c r="H49" s="6" t="s">
        <v>16</v>
      </c>
    </row>
    <row r="50" spans="1:10">
      <c r="A50" s="6">
        <v>49</v>
      </c>
      <c r="B50" s="49"/>
      <c r="C50" s="14">
        <v>0.55400000000000005</v>
      </c>
      <c r="D50" s="7" t="s">
        <v>12</v>
      </c>
      <c r="E50" s="7" t="s">
        <v>134</v>
      </c>
      <c r="F50" s="51" t="s">
        <v>135</v>
      </c>
      <c r="G50" s="7" t="s">
        <v>75</v>
      </c>
      <c r="H50" s="6" t="s">
        <v>16</v>
      </c>
    </row>
    <row r="51" spans="1:10">
      <c r="A51" s="6">
        <v>50</v>
      </c>
      <c r="B51" s="49"/>
      <c r="C51" s="14">
        <v>142</v>
      </c>
      <c r="D51" s="7" t="s">
        <v>12</v>
      </c>
      <c r="E51" s="7" t="s">
        <v>136</v>
      </c>
      <c r="F51" s="51" t="s">
        <v>137</v>
      </c>
      <c r="G51" s="7" t="s">
        <v>15</v>
      </c>
      <c r="H51" s="6" t="s">
        <v>16</v>
      </c>
    </row>
    <row r="52" spans="1:10">
      <c r="A52" s="6">
        <v>51</v>
      </c>
      <c r="B52" s="49" t="s">
        <v>138</v>
      </c>
      <c r="C52" s="14">
        <v>36.299999999999997</v>
      </c>
      <c r="D52" s="7" t="s">
        <v>12</v>
      </c>
      <c r="E52" s="7" t="s">
        <v>139</v>
      </c>
      <c r="F52" s="51" t="s">
        <v>140</v>
      </c>
      <c r="G52" s="7" t="s">
        <v>15</v>
      </c>
      <c r="H52" s="6" t="s">
        <v>16</v>
      </c>
    </row>
    <row r="53" spans="1:10">
      <c r="A53" s="6">
        <v>52</v>
      </c>
      <c r="B53" s="49" t="s">
        <v>141</v>
      </c>
      <c r="C53" s="14">
        <v>27.8</v>
      </c>
      <c r="D53" s="7" t="s">
        <v>12</v>
      </c>
      <c r="E53" s="7" t="s">
        <v>142</v>
      </c>
      <c r="F53" s="51" t="s">
        <v>143</v>
      </c>
      <c r="G53" s="7" t="s">
        <v>15</v>
      </c>
      <c r="H53" s="6" t="s">
        <v>16</v>
      </c>
    </row>
    <row r="54" spans="1:10">
      <c r="A54" s="6">
        <v>53</v>
      </c>
      <c r="B54" s="49" t="s">
        <v>144</v>
      </c>
      <c r="C54" s="14">
        <v>34.1</v>
      </c>
      <c r="D54" s="7" t="s">
        <v>12</v>
      </c>
      <c r="E54" s="7" t="s">
        <v>145</v>
      </c>
      <c r="F54" s="51" t="s">
        <v>146</v>
      </c>
      <c r="G54" s="7" t="s">
        <v>15</v>
      </c>
      <c r="H54" s="6" t="s">
        <v>16</v>
      </c>
      <c r="I54" s="9" t="s">
        <v>62</v>
      </c>
    </row>
    <row r="55" spans="1:10">
      <c r="A55" s="6">
        <v>54</v>
      </c>
      <c r="B55" s="49" t="s">
        <v>147</v>
      </c>
      <c r="C55" s="14">
        <v>58.7</v>
      </c>
      <c r="D55" s="7" t="s">
        <v>12</v>
      </c>
      <c r="E55" s="7" t="s">
        <v>148</v>
      </c>
      <c r="F55" s="51" t="s">
        <v>149</v>
      </c>
      <c r="G55" s="7" t="s">
        <v>15</v>
      </c>
      <c r="H55" s="6" t="s">
        <v>16</v>
      </c>
      <c r="I55" s="9" t="s">
        <v>66</v>
      </c>
    </row>
    <row r="56" spans="1:10">
      <c r="A56" s="6">
        <v>55</v>
      </c>
      <c r="B56" s="49" t="s">
        <v>150</v>
      </c>
      <c r="C56" s="14">
        <v>29.7</v>
      </c>
      <c r="D56" s="7" t="s">
        <v>12</v>
      </c>
      <c r="E56" s="7" t="s">
        <v>151</v>
      </c>
      <c r="F56" s="51" t="s">
        <v>152</v>
      </c>
      <c r="G56" s="7" t="s">
        <v>15</v>
      </c>
      <c r="H56" s="6" t="s">
        <v>16</v>
      </c>
      <c r="I56" s="9" t="s">
        <v>62</v>
      </c>
      <c r="J56" s="8" t="s">
        <v>153</v>
      </c>
    </row>
    <row r="57" spans="1:10">
      <c r="A57" s="6">
        <v>56</v>
      </c>
      <c r="B57" s="49" t="s">
        <v>154</v>
      </c>
      <c r="C57" s="14">
        <v>5.56</v>
      </c>
      <c r="D57" s="7" t="s">
        <v>12</v>
      </c>
      <c r="E57" s="7" t="s">
        <v>155</v>
      </c>
      <c r="F57" s="51" t="s">
        <v>156</v>
      </c>
      <c r="G57" s="7" t="s">
        <v>15</v>
      </c>
      <c r="H57" s="6" t="s">
        <v>16</v>
      </c>
    </row>
    <row r="58" spans="1:10">
      <c r="A58" s="6">
        <v>57</v>
      </c>
      <c r="B58" s="49" t="s">
        <v>154</v>
      </c>
      <c r="C58" s="14">
        <v>5.71</v>
      </c>
      <c r="D58" s="7" t="s">
        <v>12</v>
      </c>
      <c r="E58" s="7" t="s">
        <v>157</v>
      </c>
      <c r="F58" s="51" t="s">
        <v>158</v>
      </c>
      <c r="G58" s="7" t="s">
        <v>15</v>
      </c>
      <c r="H58" s="6" t="s">
        <v>16</v>
      </c>
    </row>
    <row r="59" spans="1:10">
      <c r="A59" s="6">
        <v>58</v>
      </c>
      <c r="B59" s="49" t="s">
        <v>159</v>
      </c>
      <c r="C59" s="14">
        <v>143</v>
      </c>
      <c r="D59" s="7" t="s">
        <v>12</v>
      </c>
      <c r="E59" s="7" t="s">
        <v>160</v>
      </c>
      <c r="F59" s="51" t="s">
        <v>161</v>
      </c>
      <c r="G59" s="7" t="s">
        <v>15</v>
      </c>
      <c r="H59" s="6" t="s">
        <v>16</v>
      </c>
    </row>
    <row r="60" spans="1:10">
      <c r="A60" s="6">
        <v>59</v>
      </c>
      <c r="B60" s="49" t="s">
        <v>159</v>
      </c>
      <c r="C60" s="14">
        <v>175</v>
      </c>
      <c r="D60" s="7" t="s">
        <v>12</v>
      </c>
      <c r="E60" s="7" t="s">
        <v>162</v>
      </c>
      <c r="F60" s="51" t="s">
        <v>163</v>
      </c>
      <c r="G60" s="7" t="s">
        <v>15</v>
      </c>
      <c r="H60" s="6" t="s">
        <v>16</v>
      </c>
      <c r="I60" s="9" t="s">
        <v>66</v>
      </c>
    </row>
    <row r="61" spans="1:10">
      <c r="A61" s="6">
        <v>60</v>
      </c>
      <c r="B61" s="49" t="s">
        <v>159</v>
      </c>
      <c r="C61" s="14">
        <v>174</v>
      </c>
      <c r="D61" s="7" t="s">
        <v>12</v>
      </c>
      <c r="E61" s="7" t="s">
        <v>164</v>
      </c>
      <c r="F61" s="51" t="s">
        <v>165</v>
      </c>
      <c r="G61" s="7" t="s">
        <v>15</v>
      </c>
      <c r="H61" s="6" t="s">
        <v>16</v>
      </c>
      <c r="I61" s="9" t="s">
        <v>62</v>
      </c>
    </row>
    <row r="62" spans="1:10">
      <c r="A62" s="6">
        <v>61</v>
      </c>
      <c r="B62" s="49" t="s">
        <v>159</v>
      </c>
      <c r="C62" s="14">
        <v>174</v>
      </c>
      <c r="D62" s="7" t="s">
        <v>12</v>
      </c>
      <c r="E62" s="7" t="s">
        <v>166</v>
      </c>
      <c r="F62" s="51" t="s">
        <v>167</v>
      </c>
      <c r="G62" s="7" t="s">
        <v>15</v>
      </c>
      <c r="H62" s="6" t="s">
        <v>16</v>
      </c>
      <c r="I62" s="9" t="s">
        <v>62</v>
      </c>
    </row>
    <row r="63" spans="1:10">
      <c r="A63" s="6">
        <v>62</v>
      </c>
      <c r="B63" s="49" t="s">
        <v>168</v>
      </c>
      <c r="C63" s="14">
        <v>1</v>
      </c>
      <c r="D63" s="7" t="s">
        <v>12</v>
      </c>
      <c r="E63" s="7" t="s">
        <v>169</v>
      </c>
      <c r="F63" s="13" t="s">
        <v>170</v>
      </c>
      <c r="G63" s="7" t="s">
        <v>75</v>
      </c>
      <c r="H63" s="6" t="s">
        <v>16</v>
      </c>
    </row>
    <row r="64" spans="1:10">
      <c r="A64" s="6">
        <v>63</v>
      </c>
      <c r="B64" s="49"/>
      <c r="C64" s="52">
        <v>27400</v>
      </c>
      <c r="D64" s="7" t="s">
        <v>12</v>
      </c>
      <c r="E64" s="7" t="s">
        <v>171</v>
      </c>
      <c r="F64" s="13" t="s">
        <v>172</v>
      </c>
      <c r="G64" s="7" t="s">
        <v>21</v>
      </c>
      <c r="H64" s="6" t="s">
        <v>16</v>
      </c>
    </row>
    <row r="65" spans="2:8">
      <c r="B65" s="9">
        <v>99</v>
      </c>
      <c r="C65" s="3">
        <v>6.65</v>
      </c>
      <c r="D65" s="3" t="s">
        <v>12</v>
      </c>
      <c r="E65" s="4" t="s">
        <v>173</v>
      </c>
      <c r="F65" s="13" t="s">
        <v>174</v>
      </c>
      <c r="G65" s="7" t="s">
        <v>15</v>
      </c>
      <c r="H65" s="6" t="s">
        <v>16</v>
      </c>
    </row>
    <row r="74" spans="2:8">
      <c r="E74" s="13" t="s">
        <v>170</v>
      </c>
    </row>
    <row r="75" spans="2:8">
      <c r="E75" s="13" t="s">
        <v>172</v>
      </c>
    </row>
    <row r="76" spans="2:8">
      <c r="E76" s="13" t="s">
        <v>175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7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" workbookViewId="0">
      <selection activeCell="K22" sqref="K22"/>
    </sheetView>
  </sheetViews>
  <sheetFormatPr defaultRowHeight="17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164"/>
  <sheetViews>
    <sheetView tabSelected="1" zoomScale="60" zoomScaleNormal="60" workbookViewId="0">
      <pane xSplit="2" ySplit="1" topLeftCell="C63" activePane="bottomRight" state="frozen"/>
      <selection pane="topRight" activeCell="E13" sqref="E13"/>
      <selection pane="bottomLeft" activeCell="E13" sqref="E13"/>
      <selection pane="bottomRight" activeCell="E69" sqref="E69"/>
    </sheetView>
  </sheetViews>
  <sheetFormatPr defaultColWidth="8.90625" defaultRowHeight="15.5"/>
  <cols>
    <col min="1" max="1" width="8" style="9" customWidth="1"/>
    <col min="2" max="2" width="26.453125" style="9" customWidth="1"/>
    <col min="3" max="3" width="21.453125" style="157" customWidth="1"/>
    <col min="4" max="4" width="11.90625" style="9" customWidth="1"/>
    <col min="5" max="5" width="60.90625" style="9" customWidth="1"/>
    <col min="6" max="6" width="50.90625" style="9" customWidth="1"/>
    <col min="7" max="7" width="10.90625" style="9" customWidth="1"/>
    <col min="8" max="9" width="21.36328125" style="9" customWidth="1"/>
    <col min="10" max="10" width="42.453125" style="33" customWidth="1"/>
    <col min="11" max="11" width="8.90625" style="9" customWidth="1"/>
    <col min="12" max="16384" width="8.90625" style="9"/>
  </cols>
  <sheetData>
    <row r="1" spans="1:10" ht="30" customHeight="1">
      <c r="A1" s="6" t="s">
        <v>2</v>
      </c>
      <c r="B1" s="6" t="s">
        <v>3</v>
      </c>
      <c r="C1" s="141" t="s">
        <v>4</v>
      </c>
      <c r="D1" s="6" t="s">
        <v>5</v>
      </c>
      <c r="E1" s="6" t="s">
        <v>6</v>
      </c>
      <c r="F1" s="6" t="s">
        <v>7</v>
      </c>
      <c r="G1" s="6" t="s">
        <v>176</v>
      </c>
      <c r="H1" s="6" t="s">
        <v>9</v>
      </c>
      <c r="I1" s="6" t="s">
        <v>10</v>
      </c>
      <c r="J1" s="24" t="s">
        <v>11</v>
      </c>
    </row>
    <row r="2" spans="1:10" ht="100.75" customHeight="1">
      <c r="A2" s="6">
        <v>1</v>
      </c>
      <c r="B2" s="14">
        <v>326</v>
      </c>
      <c r="C2" s="142">
        <f>3.11+4.1</f>
        <v>7.2099999999999991</v>
      </c>
      <c r="D2" s="63" t="s">
        <v>12</v>
      </c>
      <c r="E2" s="31" t="s">
        <v>177</v>
      </c>
      <c r="F2" s="48" t="s">
        <v>178</v>
      </c>
      <c r="G2" s="6" t="s">
        <v>15</v>
      </c>
      <c r="H2" s="6" t="s">
        <v>179</v>
      </c>
      <c r="I2" s="24" t="s">
        <v>180</v>
      </c>
      <c r="J2" s="25" t="s">
        <v>181</v>
      </c>
    </row>
    <row r="3" spans="1:10" ht="100.75" customHeight="1">
      <c r="A3" s="6">
        <v>2</v>
      </c>
      <c r="B3" s="14">
        <v>326</v>
      </c>
      <c r="C3" s="142">
        <f>1.02+4.1</f>
        <v>5.1199999999999992</v>
      </c>
      <c r="D3" s="63" t="s">
        <v>12</v>
      </c>
      <c r="E3" s="31" t="s">
        <v>182</v>
      </c>
      <c r="F3" s="48" t="s">
        <v>183</v>
      </c>
      <c r="G3" s="6" t="s">
        <v>15</v>
      </c>
      <c r="H3" s="6" t="s">
        <v>179</v>
      </c>
      <c r="I3" s="6"/>
      <c r="J3" s="25" t="s">
        <v>184</v>
      </c>
    </row>
    <row r="4" spans="1:10" ht="30" customHeight="1">
      <c r="A4" s="6">
        <v>3</v>
      </c>
      <c r="B4" s="32">
        <v>350351</v>
      </c>
      <c r="C4" s="141">
        <v>0.84699999999999998</v>
      </c>
      <c r="D4" s="6" t="s">
        <v>12</v>
      </c>
      <c r="E4" s="25" t="s">
        <v>185</v>
      </c>
      <c r="F4" s="14" t="s">
        <v>186</v>
      </c>
      <c r="G4" s="6" t="s">
        <v>15</v>
      </c>
      <c r="H4" s="6" t="s">
        <v>16</v>
      </c>
      <c r="I4" s="6"/>
      <c r="J4" s="25" t="s">
        <v>604</v>
      </c>
    </row>
    <row r="5" spans="1:10" ht="30" customHeight="1">
      <c r="A5" s="6"/>
      <c r="B5" s="32">
        <v>350351</v>
      </c>
      <c r="C5" s="141">
        <v>0.84699999999999998</v>
      </c>
      <c r="D5" s="6" t="s">
        <v>12</v>
      </c>
      <c r="E5" s="25" t="s">
        <v>185</v>
      </c>
      <c r="F5" s="14" t="s">
        <v>186</v>
      </c>
      <c r="G5" s="6" t="s">
        <v>15</v>
      </c>
      <c r="H5" s="6" t="s">
        <v>16</v>
      </c>
      <c r="I5" s="6"/>
      <c r="J5" s="25" t="s">
        <v>605</v>
      </c>
    </row>
    <row r="6" spans="1:10" ht="30" customHeight="1">
      <c r="A6" s="6"/>
      <c r="B6" s="32"/>
      <c r="C6">
        <v>0.85199999999999998</v>
      </c>
      <c r="D6" t="s">
        <v>218</v>
      </c>
      <c r="E6" s="168" t="s">
        <v>607</v>
      </c>
      <c r="F6" t="s">
        <v>608</v>
      </c>
      <c r="G6" s="6" t="s">
        <v>15</v>
      </c>
      <c r="H6" s="6" t="s">
        <v>16</v>
      </c>
      <c r="I6" s="6"/>
      <c r="J6" s="25" t="s">
        <v>606</v>
      </c>
    </row>
    <row r="7" spans="1:10" ht="30" customHeight="1">
      <c r="A7" s="6"/>
      <c r="B7" s="32">
        <v>350351</v>
      </c>
      <c r="C7" s="141">
        <v>0.84699999999999998</v>
      </c>
      <c r="D7" s="6" t="s">
        <v>12</v>
      </c>
      <c r="E7" s="25" t="s">
        <v>185</v>
      </c>
      <c r="F7" s="14" t="s">
        <v>186</v>
      </c>
      <c r="G7" s="6" t="s">
        <v>15</v>
      </c>
      <c r="H7" s="6" t="s">
        <v>16</v>
      </c>
      <c r="I7" s="6"/>
      <c r="J7" s="25" t="s">
        <v>609</v>
      </c>
    </row>
    <row r="8" spans="1:10" ht="30" customHeight="1">
      <c r="A8" s="6">
        <v>4</v>
      </c>
      <c r="B8" s="14">
        <v>3503</v>
      </c>
      <c r="C8" s="141">
        <v>0.85199999999999998</v>
      </c>
      <c r="D8" s="6" t="s">
        <v>12</v>
      </c>
      <c r="E8" s="25" t="s">
        <v>187</v>
      </c>
      <c r="F8" s="14" t="s">
        <v>188</v>
      </c>
      <c r="G8" s="6" t="s">
        <v>15</v>
      </c>
      <c r="H8" s="6" t="s">
        <v>16</v>
      </c>
      <c r="I8" s="6"/>
      <c r="J8" s="25" t="s">
        <v>189</v>
      </c>
    </row>
    <row r="9" spans="1:10" ht="30" customHeight="1">
      <c r="A9" s="6">
        <v>5</v>
      </c>
      <c r="B9" s="14">
        <v>351</v>
      </c>
      <c r="C9" s="141">
        <v>0.76800000000000002</v>
      </c>
      <c r="D9" s="6" t="s">
        <v>12</v>
      </c>
      <c r="E9" s="25" t="s">
        <v>190</v>
      </c>
      <c r="F9" s="14" t="s">
        <v>186</v>
      </c>
      <c r="G9" s="6" t="s">
        <v>15</v>
      </c>
      <c r="H9" s="6" t="s">
        <v>16</v>
      </c>
      <c r="I9" s="6"/>
      <c r="J9" s="25" t="s">
        <v>610</v>
      </c>
    </row>
    <row r="10" spans="1:10" ht="30" customHeight="1">
      <c r="A10" s="6">
        <v>6</v>
      </c>
      <c r="B10" s="14"/>
      <c r="C10" s="141">
        <v>2.92</v>
      </c>
      <c r="D10" s="6" t="s">
        <v>12</v>
      </c>
      <c r="E10" s="25" t="s">
        <v>191</v>
      </c>
      <c r="F10" s="14" t="s">
        <v>192</v>
      </c>
      <c r="G10" s="6" t="s">
        <v>15</v>
      </c>
      <c r="H10" s="6" t="s">
        <v>16</v>
      </c>
      <c r="I10" s="6"/>
      <c r="J10" s="25" t="s">
        <v>193</v>
      </c>
    </row>
    <row r="11" spans="1:10" ht="30" customHeight="1">
      <c r="A11" s="6">
        <v>7</v>
      </c>
      <c r="B11" s="14" t="s">
        <v>194</v>
      </c>
      <c r="C11" s="141">
        <v>1.02</v>
      </c>
      <c r="D11" s="6" t="s">
        <v>12</v>
      </c>
      <c r="E11" s="25" t="s">
        <v>195</v>
      </c>
      <c r="F11" s="14" t="s">
        <v>196</v>
      </c>
      <c r="G11" s="6" t="s">
        <v>15</v>
      </c>
      <c r="H11" s="6" t="s">
        <v>16</v>
      </c>
      <c r="I11" s="6"/>
      <c r="J11" s="25"/>
    </row>
    <row r="12" spans="1:10" ht="61.5" customHeight="1">
      <c r="A12" s="6">
        <v>8</v>
      </c>
      <c r="B12" s="29">
        <v>352</v>
      </c>
      <c r="C12" s="143">
        <v>6.35</v>
      </c>
      <c r="D12" s="23" t="s">
        <v>197</v>
      </c>
      <c r="E12" s="35" t="s">
        <v>198</v>
      </c>
      <c r="F12" s="29" t="s">
        <v>199</v>
      </c>
      <c r="G12" s="23" t="s">
        <v>200</v>
      </c>
      <c r="H12" s="6" t="s">
        <v>16</v>
      </c>
      <c r="I12" s="6"/>
      <c r="J12" s="34" t="s">
        <v>626</v>
      </c>
    </row>
    <row r="13" spans="1:10" ht="30" customHeight="1">
      <c r="A13" s="6">
        <v>9</v>
      </c>
      <c r="B13" s="14">
        <v>409</v>
      </c>
      <c r="C13" s="141">
        <v>29.6</v>
      </c>
      <c r="D13" s="6" t="s">
        <v>12</v>
      </c>
      <c r="E13" s="25" t="s">
        <v>201</v>
      </c>
      <c r="F13" s="14" t="s">
        <v>202</v>
      </c>
      <c r="G13" s="6" t="s">
        <v>15</v>
      </c>
      <c r="H13" s="6" t="s">
        <v>16</v>
      </c>
      <c r="I13" s="6"/>
      <c r="J13" s="25" t="s">
        <v>203</v>
      </c>
    </row>
    <row r="14" spans="1:10" ht="30" customHeight="1">
      <c r="A14" s="6">
        <v>10</v>
      </c>
      <c r="B14" s="14">
        <v>409</v>
      </c>
      <c r="C14" s="141">
        <v>9.68</v>
      </c>
      <c r="D14" s="6" t="s">
        <v>12</v>
      </c>
      <c r="E14" s="25" t="s">
        <v>204</v>
      </c>
      <c r="F14" s="14" t="s">
        <v>205</v>
      </c>
      <c r="G14" s="6" t="s">
        <v>15</v>
      </c>
      <c r="H14" s="6" t="s">
        <v>16</v>
      </c>
      <c r="I14" s="6"/>
      <c r="J14" s="25" t="s">
        <v>206</v>
      </c>
    </row>
    <row r="15" spans="1:10" ht="30" customHeight="1">
      <c r="A15" s="6">
        <v>11</v>
      </c>
      <c r="B15" s="14">
        <v>409</v>
      </c>
      <c r="C15" s="141">
        <v>34.4</v>
      </c>
      <c r="D15" s="6" t="s">
        <v>12</v>
      </c>
      <c r="E15" s="25" t="s">
        <v>207</v>
      </c>
      <c r="F15" s="14" t="s">
        <v>208</v>
      </c>
      <c r="G15" s="6" t="s">
        <v>15</v>
      </c>
      <c r="H15" s="6" t="s">
        <v>16</v>
      </c>
      <c r="I15" s="6"/>
      <c r="J15" s="25" t="s">
        <v>209</v>
      </c>
    </row>
    <row r="16" spans="1:10" ht="30" customHeight="1">
      <c r="A16" s="6">
        <v>12</v>
      </c>
      <c r="B16" s="14">
        <v>409</v>
      </c>
      <c r="C16" s="141">
        <v>12.3</v>
      </c>
      <c r="D16" s="6" t="s">
        <v>12</v>
      </c>
      <c r="E16" s="25" t="s">
        <v>210</v>
      </c>
      <c r="F16" s="14" t="s">
        <v>211</v>
      </c>
      <c r="G16" s="6" t="s">
        <v>15</v>
      </c>
      <c r="H16" s="6" t="s">
        <v>16</v>
      </c>
      <c r="I16" s="6"/>
      <c r="J16" s="25" t="s">
        <v>209</v>
      </c>
    </row>
    <row r="17" spans="1:10" ht="30" customHeight="1">
      <c r="A17" s="6">
        <v>13</v>
      </c>
      <c r="B17" s="14"/>
      <c r="C17" s="141">
        <v>1.99</v>
      </c>
      <c r="D17" s="6" t="s">
        <v>12</v>
      </c>
      <c r="E17" s="25" t="s">
        <v>212</v>
      </c>
      <c r="F17" s="14" t="s">
        <v>213</v>
      </c>
      <c r="G17" s="6" t="s">
        <v>15</v>
      </c>
      <c r="H17" s="6" t="s">
        <v>16</v>
      </c>
      <c r="I17" s="6"/>
      <c r="J17" s="25" t="s">
        <v>214</v>
      </c>
    </row>
    <row r="18" spans="1:10" ht="30" customHeight="1">
      <c r="A18" s="6">
        <v>14</v>
      </c>
      <c r="B18" s="14">
        <v>402</v>
      </c>
      <c r="C18" s="144">
        <v>0.39400000000000002</v>
      </c>
      <c r="D18" s="53" t="s">
        <v>215</v>
      </c>
      <c r="E18" s="54" t="s">
        <v>216</v>
      </c>
      <c r="F18" s="14"/>
      <c r="G18" s="6"/>
      <c r="H18" s="6"/>
      <c r="I18" s="6">
        <v>4020525700</v>
      </c>
      <c r="J18" s="25" t="s">
        <v>217</v>
      </c>
    </row>
    <row r="19" spans="1:10" ht="30" customHeight="1">
      <c r="A19" s="6">
        <v>15</v>
      </c>
      <c r="B19" s="14">
        <v>402</v>
      </c>
      <c r="C19" s="145">
        <v>4.87</v>
      </c>
      <c r="D19" s="6" t="s">
        <v>218</v>
      </c>
      <c r="E19" s="43" t="s">
        <v>219</v>
      </c>
      <c r="F19" s="14" t="s">
        <v>220</v>
      </c>
      <c r="G19" s="6"/>
      <c r="H19" s="6" t="s">
        <v>16</v>
      </c>
      <c r="I19" s="6"/>
      <c r="J19" s="25" t="s">
        <v>221</v>
      </c>
    </row>
    <row r="20" spans="1:10" ht="30" customHeight="1">
      <c r="A20" s="6">
        <v>16</v>
      </c>
      <c r="B20" s="14">
        <v>402</v>
      </c>
      <c r="C20" s="141">
        <v>4.46</v>
      </c>
      <c r="D20" s="6" t="s">
        <v>12</v>
      </c>
      <c r="E20" s="25" t="s">
        <v>222</v>
      </c>
      <c r="F20" s="14" t="s">
        <v>223</v>
      </c>
      <c r="G20" s="6" t="s">
        <v>15</v>
      </c>
      <c r="H20" s="6" t="s">
        <v>16</v>
      </c>
      <c r="I20" s="6" t="s">
        <v>224</v>
      </c>
      <c r="J20" s="25" t="s">
        <v>225</v>
      </c>
    </row>
    <row r="21" spans="1:10" ht="30" customHeight="1">
      <c r="A21" s="6">
        <v>17</v>
      </c>
      <c r="B21" s="14">
        <v>402</v>
      </c>
      <c r="C21" s="141">
        <v>0.442</v>
      </c>
      <c r="D21" s="6" t="s">
        <v>12</v>
      </c>
      <c r="E21" s="25" t="s">
        <v>226</v>
      </c>
      <c r="F21" s="14" t="s">
        <v>227</v>
      </c>
      <c r="G21" s="6" t="s">
        <v>15</v>
      </c>
      <c r="H21" s="6" t="s">
        <v>16</v>
      </c>
      <c r="I21" s="6"/>
      <c r="J21" s="25" t="s">
        <v>228</v>
      </c>
    </row>
    <row r="22" spans="1:10" ht="30" customHeight="1">
      <c r="A22" s="6">
        <v>18</v>
      </c>
      <c r="B22" s="14">
        <v>402</v>
      </c>
      <c r="C22" s="141">
        <v>2.92</v>
      </c>
      <c r="D22" s="6" t="s">
        <v>12</v>
      </c>
      <c r="E22" s="25" t="s">
        <v>229</v>
      </c>
      <c r="F22" s="14"/>
      <c r="G22" s="6" t="s">
        <v>15</v>
      </c>
      <c r="H22" s="6" t="s">
        <v>16</v>
      </c>
      <c r="I22" s="65">
        <v>4024036100</v>
      </c>
      <c r="J22" s="25" t="s">
        <v>230</v>
      </c>
    </row>
    <row r="23" spans="1:10" ht="30" customHeight="1">
      <c r="A23" s="6">
        <v>19</v>
      </c>
      <c r="B23" s="14"/>
      <c r="C23" s="141"/>
      <c r="D23" s="6"/>
      <c r="E23" s="25" t="s">
        <v>231</v>
      </c>
      <c r="F23" s="14"/>
      <c r="G23" s="6"/>
      <c r="H23" s="23"/>
      <c r="I23" s="23"/>
      <c r="J23" s="34" t="s">
        <v>232</v>
      </c>
    </row>
    <row r="24" spans="1:10" ht="30" customHeight="1">
      <c r="A24" s="6">
        <v>20</v>
      </c>
      <c r="B24" s="14"/>
      <c r="C24" s="141">
        <v>4.1500000000000004</v>
      </c>
      <c r="D24" s="6" t="s">
        <v>12</v>
      </c>
      <c r="E24" s="25" t="s">
        <v>233</v>
      </c>
      <c r="F24" s="14" t="s">
        <v>234</v>
      </c>
      <c r="G24" s="6" t="s">
        <v>15</v>
      </c>
      <c r="H24" s="6" t="s">
        <v>16</v>
      </c>
      <c r="I24" s="6"/>
      <c r="J24" s="25" t="s">
        <v>235</v>
      </c>
    </row>
    <row r="25" spans="1:10" ht="30" customHeight="1">
      <c r="A25" s="6">
        <v>21</v>
      </c>
      <c r="B25" s="14"/>
      <c r="C25" s="141">
        <v>2.23</v>
      </c>
      <c r="D25" s="6" t="s">
        <v>12</v>
      </c>
      <c r="E25" s="25" t="s">
        <v>236</v>
      </c>
      <c r="F25" s="14" t="s">
        <v>237</v>
      </c>
      <c r="G25" s="6" t="s">
        <v>15</v>
      </c>
      <c r="H25" s="6" t="s">
        <v>16</v>
      </c>
      <c r="I25" s="6"/>
      <c r="J25" s="25" t="s">
        <v>238</v>
      </c>
    </row>
    <row r="26" spans="1:10" ht="30" customHeight="1">
      <c r="A26" s="6">
        <v>22</v>
      </c>
      <c r="B26" s="14" t="s">
        <v>239</v>
      </c>
      <c r="C26" s="141">
        <v>4.93</v>
      </c>
      <c r="D26" s="6" t="s">
        <v>12</v>
      </c>
      <c r="E26" s="25" t="s">
        <v>240</v>
      </c>
      <c r="F26" s="14" t="s">
        <v>241</v>
      </c>
      <c r="G26" s="6" t="s">
        <v>15</v>
      </c>
      <c r="H26" s="6" t="s">
        <v>16</v>
      </c>
      <c r="I26" s="6"/>
      <c r="J26" s="25" t="s">
        <v>242</v>
      </c>
    </row>
    <row r="27" spans="1:10" ht="30" customHeight="1">
      <c r="A27" s="6">
        <v>23</v>
      </c>
      <c r="B27" s="14">
        <v>346</v>
      </c>
      <c r="C27" s="142">
        <f>4.93+2.23</f>
        <v>7.16</v>
      </c>
      <c r="D27" s="63" t="s">
        <v>12</v>
      </c>
      <c r="E27" s="31" t="s">
        <v>243</v>
      </c>
      <c r="F27" s="134" t="s">
        <v>241</v>
      </c>
      <c r="G27" s="63"/>
      <c r="H27" s="63" t="s">
        <v>244</v>
      </c>
      <c r="I27" s="63">
        <v>3462802800</v>
      </c>
      <c r="J27" s="31" t="s">
        <v>245</v>
      </c>
    </row>
    <row r="28" spans="1:10" ht="30" customHeight="1">
      <c r="A28" s="6">
        <v>24</v>
      </c>
      <c r="B28" s="14" t="s">
        <v>246</v>
      </c>
      <c r="C28" s="141">
        <v>3.2</v>
      </c>
      <c r="D28" s="6" t="s">
        <v>12</v>
      </c>
      <c r="E28" s="25" t="s">
        <v>247</v>
      </c>
      <c r="F28" s="14" t="s">
        <v>248</v>
      </c>
      <c r="G28" s="6" t="s">
        <v>15</v>
      </c>
      <c r="H28" s="24" t="s">
        <v>249</v>
      </c>
      <c r="I28" s="24"/>
      <c r="J28" s="25" t="s">
        <v>250</v>
      </c>
    </row>
    <row r="29" spans="1:10" ht="30" customHeight="1">
      <c r="A29" s="6"/>
      <c r="B29" s="14"/>
      <c r="C29" s="141">
        <v>1.46</v>
      </c>
      <c r="D29" s="6" t="s">
        <v>12</v>
      </c>
      <c r="E29" s="25" t="s">
        <v>620</v>
      </c>
      <c r="F29" s="14" t="s">
        <v>619</v>
      </c>
      <c r="G29" s="6"/>
      <c r="H29" s="6" t="s">
        <v>258</v>
      </c>
      <c r="I29" s="24"/>
      <c r="J29" s="25"/>
    </row>
    <row r="30" spans="1:10" ht="30" customHeight="1">
      <c r="A30" s="6"/>
      <c r="B30" s="14"/>
      <c r="C30" s="142">
        <f>1.46+2.23</f>
        <v>3.69</v>
      </c>
      <c r="D30" s="63" t="s">
        <v>12</v>
      </c>
      <c r="E30" s="31" t="s">
        <v>623</v>
      </c>
      <c r="F30" s="171" t="s">
        <v>624</v>
      </c>
      <c r="G30" s="63"/>
      <c r="H30" s="63" t="s">
        <v>244</v>
      </c>
      <c r="I30" s="170" t="s">
        <v>622</v>
      </c>
      <c r="J30" s="169" t="s">
        <v>621</v>
      </c>
    </row>
    <row r="31" spans="1:10" ht="29" customHeight="1">
      <c r="A31" s="6"/>
      <c r="B31" s="32">
        <v>404348</v>
      </c>
      <c r="C31" s="141">
        <f>3.2+2.23</f>
        <v>5.43</v>
      </c>
      <c r="D31" s="6" t="s">
        <v>12</v>
      </c>
      <c r="E31" s="25" t="s">
        <v>616</v>
      </c>
      <c r="F31" s="24" t="s">
        <v>617</v>
      </c>
      <c r="G31" s="6" t="s">
        <v>15</v>
      </c>
      <c r="H31" s="63" t="s">
        <v>244</v>
      </c>
      <c r="I31" s="24"/>
      <c r="J31" s="169" t="s">
        <v>618</v>
      </c>
    </row>
    <row r="32" spans="1:10" ht="30" customHeight="1">
      <c r="A32" s="6">
        <v>25</v>
      </c>
      <c r="B32" s="14"/>
      <c r="C32" s="141">
        <v>2.0099999999999998</v>
      </c>
      <c r="D32" s="6" t="s">
        <v>218</v>
      </c>
      <c r="E32" s="25"/>
      <c r="F32" s="14" t="s">
        <v>251</v>
      </c>
      <c r="G32" s="6" t="s">
        <v>15</v>
      </c>
      <c r="H32" s="6"/>
      <c r="I32" s="6"/>
      <c r="J32" s="25" t="s">
        <v>251</v>
      </c>
    </row>
    <row r="33" spans="1:11" ht="31.5" customHeight="1">
      <c r="A33" s="6">
        <v>26</v>
      </c>
      <c r="B33" s="14" t="s">
        <v>252</v>
      </c>
      <c r="C33" s="141">
        <v>6.45</v>
      </c>
      <c r="D33" s="6" t="s">
        <v>12</v>
      </c>
      <c r="E33" s="25" t="s">
        <v>253</v>
      </c>
      <c r="F33" s="14" t="s">
        <v>254</v>
      </c>
      <c r="G33" s="6" t="s">
        <v>15</v>
      </c>
      <c r="H33" s="6"/>
      <c r="I33" s="6"/>
      <c r="J33" s="25" t="s">
        <v>255</v>
      </c>
    </row>
    <row r="34" spans="1:11" ht="30" customHeight="1">
      <c r="A34" s="6">
        <v>27</v>
      </c>
      <c r="B34" s="14">
        <v>334</v>
      </c>
      <c r="C34" s="141">
        <v>9.85</v>
      </c>
      <c r="D34" s="28" t="s">
        <v>256</v>
      </c>
      <c r="E34" s="44"/>
      <c r="F34" s="14" t="s">
        <v>257</v>
      </c>
      <c r="G34" s="6" t="s">
        <v>15</v>
      </c>
      <c r="H34" s="6" t="s">
        <v>258</v>
      </c>
      <c r="I34" s="6"/>
      <c r="J34" s="25" t="s">
        <v>259</v>
      </c>
    </row>
    <row r="35" spans="1:11" ht="30" customHeight="1">
      <c r="A35" s="6">
        <v>28</v>
      </c>
      <c r="B35" s="14">
        <v>310</v>
      </c>
      <c r="C35" s="141">
        <v>1.81</v>
      </c>
      <c r="D35" s="6" t="s">
        <v>615</v>
      </c>
      <c r="E35" s="25"/>
      <c r="F35" s="14" t="s">
        <v>260</v>
      </c>
      <c r="G35" s="6" t="s">
        <v>15</v>
      </c>
      <c r="H35" s="6" t="s">
        <v>261</v>
      </c>
      <c r="I35" s="6"/>
      <c r="J35" s="25" t="s">
        <v>262</v>
      </c>
    </row>
    <row r="36" spans="1:11" ht="30" customHeight="1">
      <c r="A36" s="6">
        <v>29</v>
      </c>
      <c r="B36" s="14"/>
      <c r="C36" s="146">
        <v>5.41</v>
      </c>
      <c r="D36" s="28" t="s">
        <v>256</v>
      </c>
      <c r="E36" s="46" t="s">
        <v>263</v>
      </c>
      <c r="F36" s="14" t="s">
        <v>264</v>
      </c>
      <c r="G36" s="6" t="s">
        <v>15</v>
      </c>
      <c r="H36" s="6" t="s">
        <v>16</v>
      </c>
      <c r="I36" s="45"/>
      <c r="J36" s="47" t="s">
        <v>265</v>
      </c>
    </row>
    <row r="37" spans="1:11" ht="30" customHeight="1">
      <c r="A37" s="6">
        <v>30</v>
      </c>
      <c r="B37" s="14">
        <v>343</v>
      </c>
      <c r="C37" s="147">
        <f>5.41+2.23</f>
        <v>7.6400000000000006</v>
      </c>
      <c r="D37" s="84" t="s">
        <v>364</v>
      </c>
      <c r="E37" s="85" t="s">
        <v>374</v>
      </c>
      <c r="F37" s="24" t="s">
        <v>375</v>
      </c>
      <c r="G37" s="6" t="s">
        <v>15</v>
      </c>
      <c r="H37" s="6" t="s">
        <v>16</v>
      </c>
      <c r="I37" s="45" t="s">
        <v>547</v>
      </c>
      <c r="J37" s="47" t="s">
        <v>548</v>
      </c>
    </row>
    <row r="38" spans="1:11" ht="30" customHeight="1">
      <c r="A38" s="6">
        <v>31</v>
      </c>
      <c r="B38" s="14">
        <v>310</v>
      </c>
      <c r="C38" s="141">
        <v>3.37</v>
      </c>
      <c r="D38" s="6" t="s">
        <v>218</v>
      </c>
      <c r="E38" s="25" t="s">
        <v>266</v>
      </c>
      <c r="F38" s="25" t="s">
        <v>266</v>
      </c>
      <c r="G38" s="6" t="s">
        <v>15</v>
      </c>
      <c r="H38" s="6" t="s">
        <v>261</v>
      </c>
      <c r="I38" s="6" t="s">
        <v>267</v>
      </c>
      <c r="J38" s="25" t="s">
        <v>627</v>
      </c>
    </row>
    <row r="39" spans="1:11" ht="30" customHeight="1">
      <c r="A39" s="6">
        <v>32</v>
      </c>
      <c r="B39" s="14">
        <v>310</v>
      </c>
      <c r="C39" s="141">
        <v>3.41</v>
      </c>
      <c r="D39" s="6" t="s">
        <v>218</v>
      </c>
      <c r="E39" s="25"/>
      <c r="F39" s="25" t="s">
        <v>268</v>
      </c>
      <c r="G39" s="6" t="s">
        <v>15</v>
      </c>
      <c r="H39" s="6" t="s">
        <v>261</v>
      </c>
      <c r="I39" s="6"/>
      <c r="J39" s="25" t="s">
        <v>627</v>
      </c>
    </row>
    <row r="40" spans="1:11" ht="30" customHeight="1">
      <c r="A40" s="6">
        <v>33</v>
      </c>
      <c r="B40" s="14">
        <v>411</v>
      </c>
      <c r="C40" s="145">
        <v>32.299999999999997</v>
      </c>
      <c r="D40" s="28" t="s">
        <v>256</v>
      </c>
      <c r="E40" s="30" t="s">
        <v>269</v>
      </c>
      <c r="F40" s="94" t="s">
        <v>592</v>
      </c>
      <c r="G40" s="6" t="s">
        <v>15</v>
      </c>
      <c r="H40" s="6" t="s">
        <v>16</v>
      </c>
      <c r="I40" s="6"/>
      <c r="J40" s="25"/>
    </row>
    <row r="41" spans="1:11" ht="30" customHeight="1">
      <c r="A41" s="6"/>
      <c r="B41" s="14">
        <v>411</v>
      </c>
      <c r="C41" s="145">
        <f>1.28+1.25</f>
        <v>2.5300000000000002</v>
      </c>
      <c r="D41" s="28" t="s">
        <v>256</v>
      </c>
      <c r="E41" s="30" t="s">
        <v>563</v>
      </c>
      <c r="F41" s="94" t="s">
        <v>561</v>
      </c>
      <c r="G41" s="6"/>
      <c r="H41" s="6" t="s">
        <v>562</v>
      </c>
      <c r="I41" s="6" t="s">
        <v>559</v>
      </c>
      <c r="J41" s="25" t="s">
        <v>560</v>
      </c>
      <c r="K41" s="132"/>
    </row>
    <row r="42" spans="1:11" ht="30" customHeight="1">
      <c r="A42" s="6">
        <v>34</v>
      </c>
      <c r="B42" s="14">
        <v>411</v>
      </c>
      <c r="C42" s="148">
        <f>(3.04*0.9+1.28*0.1)+1.25</f>
        <v>4.1140000000000008</v>
      </c>
      <c r="D42" s="103" t="s">
        <v>256</v>
      </c>
      <c r="E42" s="104" t="s">
        <v>553</v>
      </c>
      <c r="F42" s="94" t="s">
        <v>554</v>
      </c>
      <c r="G42" s="6" t="s">
        <v>15</v>
      </c>
      <c r="H42" s="6" t="s">
        <v>270</v>
      </c>
      <c r="I42" s="6">
        <v>4110157900</v>
      </c>
      <c r="J42" s="25" t="s">
        <v>558</v>
      </c>
    </row>
    <row r="43" spans="1:11" ht="30" customHeight="1">
      <c r="A43" s="6"/>
      <c r="B43" s="14">
        <v>411</v>
      </c>
      <c r="C43" s="148"/>
      <c r="D43" s="103"/>
      <c r="E43" s="104"/>
      <c r="F43" s="133" t="s">
        <v>594</v>
      </c>
      <c r="G43" s="6"/>
      <c r="H43" s="6"/>
      <c r="I43" s="6">
        <v>4110344213</v>
      </c>
      <c r="J43" s="25" t="s">
        <v>593</v>
      </c>
      <c r="K43" s="132" t="s">
        <v>591</v>
      </c>
    </row>
    <row r="44" spans="1:11" ht="30" customHeight="1">
      <c r="A44" s="6">
        <v>35</v>
      </c>
      <c r="B44" s="14">
        <v>339</v>
      </c>
      <c r="C44" s="141">
        <v>4.54</v>
      </c>
      <c r="D44" s="7" t="s">
        <v>12</v>
      </c>
      <c r="E44" s="12" t="s">
        <v>271</v>
      </c>
      <c r="F44" s="7" t="s">
        <v>272</v>
      </c>
      <c r="G44" s="6" t="s">
        <v>15</v>
      </c>
      <c r="H44" s="6" t="s">
        <v>16</v>
      </c>
      <c r="I44" s="14"/>
      <c r="J44" s="7"/>
    </row>
    <row r="45" spans="1:11" ht="30" customHeight="1">
      <c r="A45" s="6">
        <v>36</v>
      </c>
      <c r="B45" s="14"/>
      <c r="C45" s="141">
        <v>4.07</v>
      </c>
      <c r="D45" s="7" t="s">
        <v>12</v>
      </c>
      <c r="E45" s="12" t="s">
        <v>273</v>
      </c>
      <c r="F45" s="7" t="s">
        <v>274</v>
      </c>
      <c r="G45" s="6" t="s">
        <v>15</v>
      </c>
      <c r="H45" s="6" t="s">
        <v>16</v>
      </c>
      <c r="I45" s="14"/>
      <c r="J45" s="7"/>
    </row>
    <row r="46" spans="1:11" ht="30" customHeight="1">
      <c r="A46" s="6">
        <v>37</v>
      </c>
      <c r="B46" s="14"/>
      <c r="C46" s="141">
        <v>4.22</v>
      </c>
      <c r="D46" s="7" t="s">
        <v>12</v>
      </c>
      <c r="E46" s="12" t="s">
        <v>275</v>
      </c>
      <c r="F46" s="7" t="s">
        <v>276</v>
      </c>
      <c r="G46" s="6" t="s">
        <v>15</v>
      </c>
      <c r="H46" s="6" t="s">
        <v>16</v>
      </c>
      <c r="I46" s="14"/>
      <c r="J46" s="7"/>
    </row>
    <row r="47" spans="1:11" ht="30" customHeight="1">
      <c r="A47" s="6">
        <v>38</v>
      </c>
      <c r="B47" s="14" t="s">
        <v>277</v>
      </c>
      <c r="C47" s="141">
        <v>2.72</v>
      </c>
      <c r="D47" s="7" t="s">
        <v>12</v>
      </c>
      <c r="E47" s="12" t="s">
        <v>278</v>
      </c>
      <c r="F47" s="7" t="s">
        <v>279</v>
      </c>
      <c r="G47" s="6" t="s">
        <v>15</v>
      </c>
      <c r="H47" s="6" t="s">
        <v>16</v>
      </c>
      <c r="I47" s="14"/>
      <c r="J47" s="7"/>
    </row>
    <row r="48" spans="1:11" ht="30" customHeight="1">
      <c r="A48" s="6">
        <v>39</v>
      </c>
      <c r="B48" s="14"/>
      <c r="C48" s="142">
        <f>8.18+1.25</f>
        <v>9.43</v>
      </c>
      <c r="D48" s="6" t="s">
        <v>218</v>
      </c>
      <c r="E48" s="31" t="s">
        <v>280</v>
      </c>
      <c r="F48" s="7" t="s">
        <v>281</v>
      </c>
      <c r="G48" s="6"/>
      <c r="H48" s="6" t="s">
        <v>179</v>
      </c>
      <c r="I48" s="6"/>
      <c r="J48" s="25" t="s">
        <v>282</v>
      </c>
    </row>
    <row r="49" spans="1:10" ht="30" customHeight="1">
      <c r="A49" s="6">
        <v>40</v>
      </c>
      <c r="B49" s="14"/>
      <c r="C49" s="141">
        <v>82.7</v>
      </c>
      <c r="D49" s="7" t="s">
        <v>12</v>
      </c>
      <c r="E49" s="12" t="s">
        <v>283</v>
      </c>
      <c r="F49" s="7" t="s">
        <v>284</v>
      </c>
      <c r="G49" s="6" t="s">
        <v>15</v>
      </c>
      <c r="H49" s="6" t="s">
        <v>16</v>
      </c>
      <c r="I49" s="6"/>
      <c r="J49" s="24"/>
    </row>
    <row r="50" spans="1:10" ht="30" customHeight="1">
      <c r="A50" s="6">
        <v>41</v>
      </c>
      <c r="B50" s="14"/>
      <c r="C50" s="141">
        <v>2.1</v>
      </c>
      <c r="D50" s="7" t="s">
        <v>12</v>
      </c>
      <c r="E50" s="12" t="s">
        <v>285</v>
      </c>
      <c r="F50" s="7" t="s">
        <v>286</v>
      </c>
      <c r="G50" s="6" t="s">
        <v>15</v>
      </c>
      <c r="H50" s="6" t="s">
        <v>16</v>
      </c>
      <c r="I50" s="6"/>
      <c r="J50" s="24"/>
    </row>
    <row r="51" spans="1:10" ht="30" customHeight="1">
      <c r="A51" s="6">
        <v>42</v>
      </c>
      <c r="B51" s="14"/>
      <c r="C51" s="141">
        <v>2.41</v>
      </c>
      <c r="D51" s="7" t="s">
        <v>12</v>
      </c>
      <c r="E51" s="12" t="s">
        <v>287</v>
      </c>
      <c r="F51" s="7" t="s">
        <v>286</v>
      </c>
      <c r="G51" s="6" t="s">
        <v>15</v>
      </c>
      <c r="H51" s="6" t="s">
        <v>16</v>
      </c>
      <c r="I51" s="6"/>
      <c r="J51" s="24"/>
    </row>
    <row r="52" spans="1:10" ht="30" customHeight="1">
      <c r="A52" s="6">
        <v>43</v>
      </c>
      <c r="B52" s="14"/>
      <c r="C52" s="141">
        <v>2.93</v>
      </c>
      <c r="D52" s="7" t="s">
        <v>12</v>
      </c>
      <c r="E52" s="12" t="s">
        <v>288</v>
      </c>
      <c r="F52" s="7" t="s">
        <v>289</v>
      </c>
      <c r="G52" s="6" t="s">
        <v>15</v>
      </c>
      <c r="H52" s="6" t="s">
        <v>16</v>
      </c>
      <c r="I52" s="6"/>
      <c r="J52" s="24"/>
    </row>
    <row r="53" spans="1:10" ht="30" customHeight="1">
      <c r="A53" s="6">
        <v>44</v>
      </c>
      <c r="B53" s="14"/>
      <c r="C53" s="141">
        <v>3.19</v>
      </c>
      <c r="D53" s="7" t="s">
        <v>12</v>
      </c>
      <c r="E53" s="12" t="s">
        <v>290</v>
      </c>
      <c r="F53" s="7" t="s">
        <v>291</v>
      </c>
      <c r="G53" s="6" t="s">
        <v>15</v>
      </c>
      <c r="H53" s="6" t="s">
        <v>16</v>
      </c>
      <c r="I53" s="6"/>
      <c r="J53" s="24"/>
    </row>
    <row r="54" spans="1:10" ht="30" customHeight="1">
      <c r="A54" s="6">
        <v>45</v>
      </c>
      <c r="B54" s="14"/>
      <c r="C54" s="141">
        <v>8.8699999999999992</v>
      </c>
      <c r="D54" s="7" t="s">
        <v>12</v>
      </c>
      <c r="E54" s="12" t="s">
        <v>292</v>
      </c>
      <c r="F54" s="7" t="s">
        <v>293</v>
      </c>
      <c r="G54" s="6" t="s">
        <v>15</v>
      </c>
      <c r="H54" s="6" t="s">
        <v>16</v>
      </c>
      <c r="I54" s="6"/>
      <c r="J54" s="24"/>
    </row>
    <row r="55" spans="1:10" ht="30" customHeight="1">
      <c r="A55" s="6">
        <v>46</v>
      </c>
      <c r="B55" s="14" t="s">
        <v>294</v>
      </c>
      <c r="C55" s="141">
        <v>3.09</v>
      </c>
      <c r="D55" s="7" t="s">
        <v>12</v>
      </c>
      <c r="E55" s="12" t="s">
        <v>295</v>
      </c>
      <c r="F55" s="7" t="s">
        <v>296</v>
      </c>
      <c r="G55" s="6" t="s">
        <v>15</v>
      </c>
      <c r="H55" s="6" t="s">
        <v>16</v>
      </c>
      <c r="I55" s="24" t="s">
        <v>297</v>
      </c>
      <c r="J55" s="24" t="s">
        <v>595</v>
      </c>
    </row>
    <row r="56" spans="1:10" ht="30" customHeight="1">
      <c r="A56" s="6">
        <v>47</v>
      </c>
      <c r="B56" s="14" t="s">
        <v>298</v>
      </c>
      <c r="C56" s="141">
        <v>8.18</v>
      </c>
      <c r="D56" s="7" t="s">
        <v>12</v>
      </c>
      <c r="E56" s="12" t="s">
        <v>299</v>
      </c>
      <c r="F56" s="7" t="s">
        <v>300</v>
      </c>
      <c r="G56" s="6" t="s">
        <v>15</v>
      </c>
      <c r="H56" s="6" t="s">
        <v>16</v>
      </c>
      <c r="I56" s="6"/>
      <c r="J56" s="24"/>
    </row>
    <row r="57" spans="1:10" ht="30" customHeight="1">
      <c r="A57" s="6">
        <v>48</v>
      </c>
      <c r="B57" s="14"/>
      <c r="C57" s="141">
        <v>2.31</v>
      </c>
      <c r="D57" s="7" t="s">
        <v>12</v>
      </c>
      <c r="E57" s="12" t="s">
        <v>301</v>
      </c>
      <c r="F57" s="36" t="s">
        <v>302</v>
      </c>
      <c r="G57" s="6" t="s">
        <v>15</v>
      </c>
      <c r="H57" s="6" t="s">
        <v>16</v>
      </c>
      <c r="I57" s="6"/>
      <c r="J57" s="24"/>
    </row>
    <row r="58" spans="1:10" ht="30" customHeight="1">
      <c r="A58" s="6">
        <v>49</v>
      </c>
      <c r="B58" s="14"/>
      <c r="C58" s="141">
        <v>2.4700000000000002</v>
      </c>
      <c r="D58" s="7" t="s">
        <v>12</v>
      </c>
      <c r="E58" s="12" t="s">
        <v>303</v>
      </c>
      <c r="F58" s="7" t="s">
        <v>304</v>
      </c>
      <c r="G58" s="6" t="s">
        <v>15</v>
      </c>
      <c r="H58" s="6" t="s">
        <v>16</v>
      </c>
      <c r="I58" s="6"/>
      <c r="J58" s="24"/>
    </row>
    <row r="59" spans="1:10" ht="30" customHeight="1">
      <c r="A59" s="6">
        <v>50</v>
      </c>
      <c r="B59" s="14"/>
      <c r="C59" s="141">
        <v>7.42</v>
      </c>
      <c r="D59" s="7" t="s">
        <v>12</v>
      </c>
      <c r="E59" s="12" t="s">
        <v>305</v>
      </c>
      <c r="F59" s="7" t="s">
        <v>306</v>
      </c>
      <c r="G59" s="6" t="s">
        <v>15</v>
      </c>
      <c r="H59" s="6" t="s">
        <v>16</v>
      </c>
      <c r="I59" s="6"/>
      <c r="J59" s="24"/>
    </row>
    <row r="60" spans="1:10" ht="30" customHeight="1">
      <c r="A60" s="6">
        <v>51</v>
      </c>
      <c r="B60" s="14"/>
      <c r="C60" s="141">
        <v>2.2799999999999998</v>
      </c>
      <c r="D60" s="7" t="s">
        <v>12</v>
      </c>
      <c r="E60" s="12" t="s">
        <v>307</v>
      </c>
      <c r="F60" s="106" t="s">
        <v>308</v>
      </c>
      <c r="G60" s="6" t="s">
        <v>15</v>
      </c>
      <c r="H60" s="6" t="s">
        <v>16</v>
      </c>
      <c r="I60" s="6"/>
      <c r="J60" s="24"/>
    </row>
    <row r="61" spans="1:10" ht="30" customHeight="1">
      <c r="A61" s="6">
        <v>52</v>
      </c>
      <c r="B61" s="14"/>
      <c r="C61" s="141">
        <v>3.61</v>
      </c>
      <c r="D61" s="7" t="s">
        <v>12</v>
      </c>
      <c r="E61" s="12" t="s">
        <v>309</v>
      </c>
      <c r="F61" s="7" t="s">
        <v>310</v>
      </c>
      <c r="G61" s="6" t="s">
        <v>15</v>
      </c>
      <c r="H61" s="6" t="s">
        <v>16</v>
      </c>
      <c r="I61" s="6"/>
      <c r="J61" s="24"/>
    </row>
    <row r="62" spans="1:10" ht="30" customHeight="1">
      <c r="A62" s="6">
        <v>53</v>
      </c>
      <c r="B62" s="14"/>
      <c r="C62" s="141">
        <v>2.56</v>
      </c>
      <c r="D62" s="7" t="s">
        <v>12</v>
      </c>
      <c r="E62" s="12" t="s">
        <v>311</v>
      </c>
      <c r="F62" s="7" t="s">
        <v>312</v>
      </c>
      <c r="G62" s="6" t="s">
        <v>15</v>
      </c>
      <c r="H62" s="6" t="s">
        <v>16</v>
      </c>
      <c r="I62" s="6"/>
      <c r="J62" s="24"/>
    </row>
    <row r="63" spans="1:10" ht="30" customHeight="1">
      <c r="A63" s="6">
        <v>54</v>
      </c>
      <c r="B63" s="14"/>
      <c r="C63" s="141">
        <v>140</v>
      </c>
      <c r="D63" s="7" t="s">
        <v>12</v>
      </c>
      <c r="E63" s="12" t="s">
        <v>313</v>
      </c>
      <c r="F63" s="7" t="s">
        <v>314</v>
      </c>
      <c r="G63" s="6" t="s">
        <v>15</v>
      </c>
      <c r="H63" s="6" t="s">
        <v>16</v>
      </c>
      <c r="I63" s="6"/>
      <c r="J63" s="24"/>
    </row>
    <row r="64" spans="1:10" ht="30" customHeight="1">
      <c r="A64" s="6">
        <v>55</v>
      </c>
      <c r="B64" s="14"/>
      <c r="C64" s="141">
        <v>3.11</v>
      </c>
      <c r="D64" s="7" t="s">
        <v>12</v>
      </c>
      <c r="E64" s="12" t="s">
        <v>315</v>
      </c>
      <c r="F64" s="7" t="s">
        <v>316</v>
      </c>
      <c r="G64" s="6" t="s">
        <v>15</v>
      </c>
      <c r="H64" s="6" t="s">
        <v>16</v>
      </c>
      <c r="I64" s="6"/>
      <c r="J64" s="24"/>
    </row>
    <row r="65" spans="1:10" ht="30" customHeight="1">
      <c r="A65" s="6">
        <v>56</v>
      </c>
      <c r="B65" s="14"/>
      <c r="C65" s="141">
        <v>5.46</v>
      </c>
      <c r="D65" s="7" t="s">
        <v>12</v>
      </c>
      <c r="E65" s="12" t="s">
        <v>317</v>
      </c>
      <c r="F65" s="7" t="s">
        <v>318</v>
      </c>
      <c r="G65" s="6" t="s">
        <v>15</v>
      </c>
      <c r="H65" s="6" t="s">
        <v>16</v>
      </c>
      <c r="I65" s="6"/>
      <c r="J65" s="24"/>
    </row>
    <row r="66" spans="1:10" ht="30" customHeight="1">
      <c r="A66" s="6">
        <v>57</v>
      </c>
      <c r="B66" s="14"/>
      <c r="C66" s="141">
        <v>1.25</v>
      </c>
      <c r="D66" s="7" t="s">
        <v>12</v>
      </c>
      <c r="E66" s="12" t="s">
        <v>319</v>
      </c>
      <c r="F66" s="7" t="s">
        <v>320</v>
      </c>
      <c r="G66" s="6" t="s">
        <v>15</v>
      </c>
      <c r="H66" s="6" t="s">
        <v>16</v>
      </c>
      <c r="I66" s="6"/>
      <c r="J66" s="24"/>
    </row>
    <row r="67" spans="1:10" ht="30" customHeight="1">
      <c r="A67" s="6">
        <v>58</v>
      </c>
      <c r="B67" s="14"/>
      <c r="C67" s="141">
        <v>2.42</v>
      </c>
      <c r="D67" s="7" t="s">
        <v>218</v>
      </c>
      <c r="E67" s="12" t="s">
        <v>321</v>
      </c>
      <c r="F67" s="7" t="s">
        <v>322</v>
      </c>
      <c r="G67" s="6" t="s">
        <v>15</v>
      </c>
      <c r="H67" s="6" t="s">
        <v>16</v>
      </c>
      <c r="I67" s="6"/>
      <c r="J67" s="24"/>
    </row>
    <row r="68" spans="1:10" ht="30" customHeight="1">
      <c r="A68" s="6">
        <v>59</v>
      </c>
      <c r="B68" s="62" t="s">
        <v>323</v>
      </c>
      <c r="C68" s="141">
        <v>7.09</v>
      </c>
      <c r="D68" s="7" t="s">
        <v>218</v>
      </c>
      <c r="E68" s="12" t="s">
        <v>324</v>
      </c>
      <c r="F68" s="7" t="s">
        <v>325</v>
      </c>
      <c r="G68" s="6" t="s">
        <v>15</v>
      </c>
      <c r="H68" s="6" t="s">
        <v>16</v>
      </c>
      <c r="I68" s="6"/>
      <c r="J68" s="24"/>
    </row>
    <row r="69" spans="1:10" ht="30" customHeight="1">
      <c r="A69" s="6"/>
      <c r="B69" s="62"/>
      <c r="C69" s="141">
        <f>7.09+1.25</f>
        <v>8.34</v>
      </c>
      <c r="D69" s="7" t="s">
        <v>218</v>
      </c>
      <c r="E69" s="12" t="s">
        <v>628</v>
      </c>
      <c r="F69" s="7" t="s">
        <v>629</v>
      </c>
      <c r="G69" s="6"/>
      <c r="H69" s="6"/>
      <c r="I69" s="6"/>
      <c r="J69" s="24"/>
    </row>
    <row r="70" spans="1:10" ht="30" customHeight="1">
      <c r="A70" s="6">
        <v>60</v>
      </c>
      <c r="B70" s="14"/>
      <c r="C70" s="141">
        <v>6.62</v>
      </c>
      <c r="D70" s="7" t="s">
        <v>218</v>
      </c>
      <c r="E70" s="12" t="s">
        <v>326</v>
      </c>
      <c r="F70" s="7" t="s">
        <v>327</v>
      </c>
      <c r="G70" s="6" t="s">
        <v>15</v>
      </c>
      <c r="H70" s="6" t="s">
        <v>16</v>
      </c>
      <c r="I70" s="6"/>
      <c r="J70" s="24"/>
    </row>
    <row r="71" spans="1:10" ht="30" customHeight="1">
      <c r="A71" s="6">
        <v>61</v>
      </c>
      <c r="B71" s="14">
        <v>324</v>
      </c>
      <c r="C71" s="146">
        <v>5.51</v>
      </c>
      <c r="D71" s="7" t="s">
        <v>218</v>
      </c>
      <c r="E71" s="12" t="s">
        <v>328</v>
      </c>
      <c r="F71" s="37" t="s">
        <v>329</v>
      </c>
      <c r="G71" s="6" t="s">
        <v>15</v>
      </c>
      <c r="H71" s="6" t="s">
        <v>16</v>
      </c>
      <c r="I71" s="6"/>
      <c r="J71" s="24" t="s">
        <v>330</v>
      </c>
    </row>
    <row r="72" spans="1:10" ht="30" customHeight="1">
      <c r="A72" s="6">
        <v>62</v>
      </c>
      <c r="B72" s="14"/>
      <c r="C72" s="141">
        <v>5.59</v>
      </c>
      <c r="D72" s="7" t="s">
        <v>218</v>
      </c>
      <c r="E72" s="12" t="s">
        <v>331</v>
      </c>
      <c r="F72" s="12" t="s">
        <v>332</v>
      </c>
      <c r="G72" s="6" t="s">
        <v>15</v>
      </c>
      <c r="H72" s="6" t="s">
        <v>16</v>
      </c>
      <c r="I72" s="6"/>
      <c r="J72" s="24"/>
    </row>
    <row r="73" spans="1:10" ht="30" customHeight="1">
      <c r="A73" s="6">
        <v>63</v>
      </c>
      <c r="B73" s="14">
        <v>402</v>
      </c>
      <c r="C73" s="141">
        <v>3.6</v>
      </c>
      <c r="D73" s="7" t="s">
        <v>218</v>
      </c>
      <c r="E73" s="12" t="s">
        <v>333</v>
      </c>
      <c r="F73" s="7" t="s">
        <v>334</v>
      </c>
      <c r="G73" s="6" t="s">
        <v>15</v>
      </c>
      <c r="H73" s="6" t="s">
        <v>335</v>
      </c>
      <c r="I73" s="6"/>
      <c r="J73" s="24"/>
    </row>
    <row r="74" spans="1:10" ht="46.5">
      <c r="A74" s="6">
        <v>64</v>
      </c>
      <c r="B74" s="14"/>
      <c r="C74" s="141"/>
      <c r="D74" s="7"/>
      <c r="E74" s="12" t="s">
        <v>336</v>
      </c>
      <c r="F74" s="12" t="s">
        <v>337</v>
      </c>
      <c r="G74" s="6"/>
      <c r="H74" s="6"/>
      <c r="I74" s="6"/>
      <c r="J74" s="24"/>
    </row>
    <row r="75" spans="1:10" s="8" customFormat="1" ht="30" customHeight="1">
      <c r="A75" s="6">
        <v>65</v>
      </c>
      <c r="B75" s="66" t="s">
        <v>552</v>
      </c>
      <c r="C75" s="149">
        <v>0.54500000000000004</v>
      </c>
      <c r="D75" s="2" t="s">
        <v>12</v>
      </c>
      <c r="E75" s="2" t="s">
        <v>338</v>
      </c>
      <c r="F75" s="67" t="s">
        <v>339</v>
      </c>
      <c r="G75" s="2" t="s">
        <v>340</v>
      </c>
      <c r="H75" s="6" t="s">
        <v>16</v>
      </c>
      <c r="I75" s="6"/>
      <c r="J75" s="7"/>
    </row>
    <row r="76" spans="1:10" s="8" customFormat="1" ht="30" customHeight="1">
      <c r="A76" s="6">
        <v>66</v>
      </c>
      <c r="B76" s="66" t="s">
        <v>552</v>
      </c>
      <c r="C76" s="149">
        <v>0.28799999999999998</v>
      </c>
      <c r="D76" s="2" t="s">
        <v>12</v>
      </c>
      <c r="E76" s="2" t="s">
        <v>341</v>
      </c>
      <c r="F76" s="67" t="s">
        <v>342</v>
      </c>
      <c r="G76" s="2" t="s">
        <v>340</v>
      </c>
      <c r="H76" s="6" t="s">
        <v>16</v>
      </c>
      <c r="I76" s="6"/>
      <c r="J76" s="7"/>
    </row>
    <row r="77" spans="1:10" s="8" customFormat="1" ht="30" customHeight="1">
      <c r="A77" s="6">
        <v>67</v>
      </c>
      <c r="B77" s="66"/>
      <c r="C77" s="149">
        <v>0.56399999999999995</v>
      </c>
      <c r="D77" s="2" t="s">
        <v>12</v>
      </c>
      <c r="E77" s="2" t="s">
        <v>343</v>
      </c>
      <c r="F77" s="67" t="s">
        <v>344</v>
      </c>
      <c r="G77" s="2" t="s">
        <v>340</v>
      </c>
      <c r="H77" s="6" t="s">
        <v>16</v>
      </c>
      <c r="I77" s="6"/>
      <c r="J77" s="7"/>
    </row>
    <row r="78" spans="1:10" s="8" customFormat="1" ht="30" customHeight="1">
      <c r="A78" s="6">
        <v>68</v>
      </c>
      <c r="B78" s="66"/>
      <c r="C78" s="149">
        <v>0.57499999999999996</v>
      </c>
      <c r="D78" s="2" t="s">
        <v>12</v>
      </c>
      <c r="E78" s="2" t="s">
        <v>345</v>
      </c>
      <c r="F78" s="67" t="s">
        <v>346</v>
      </c>
      <c r="G78" s="2" t="s">
        <v>340</v>
      </c>
      <c r="H78" s="6" t="s">
        <v>16</v>
      </c>
      <c r="I78" s="6"/>
      <c r="J78" s="7"/>
    </row>
    <row r="79" spans="1:10" s="8" customFormat="1" ht="30" customHeight="1">
      <c r="A79" s="6">
        <v>69</v>
      </c>
      <c r="B79" s="66"/>
      <c r="C79" s="149">
        <v>10.4</v>
      </c>
      <c r="D79" s="2" t="s">
        <v>12</v>
      </c>
      <c r="E79" s="2" t="s">
        <v>347</v>
      </c>
      <c r="F79" s="67" t="s">
        <v>348</v>
      </c>
      <c r="G79" s="2" t="s">
        <v>15</v>
      </c>
      <c r="H79" s="6" t="s">
        <v>16</v>
      </c>
      <c r="I79" s="6"/>
      <c r="J79" s="7"/>
    </row>
    <row r="80" spans="1:10" s="8" customFormat="1" ht="30" customHeight="1">
      <c r="A80" s="6">
        <v>70</v>
      </c>
      <c r="B80" s="66"/>
      <c r="C80" s="149">
        <v>5.96</v>
      </c>
      <c r="D80" s="2" t="s">
        <v>12</v>
      </c>
      <c r="E80" s="2" t="s">
        <v>349</v>
      </c>
      <c r="F80" s="67" t="s">
        <v>350</v>
      </c>
      <c r="G80" s="2" t="s">
        <v>340</v>
      </c>
      <c r="H80" s="6" t="s">
        <v>16</v>
      </c>
      <c r="I80" s="6"/>
      <c r="J80" s="7"/>
    </row>
    <row r="81" spans="1:10" s="8" customFormat="1" ht="30" customHeight="1">
      <c r="A81" s="6">
        <v>71</v>
      </c>
      <c r="B81" s="66" t="s">
        <v>552</v>
      </c>
      <c r="C81" s="149">
        <v>6.89</v>
      </c>
      <c r="D81" s="2" t="s">
        <v>12</v>
      </c>
      <c r="E81" s="2" t="s">
        <v>351</v>
      </c>
      <c r="F81" s="67" t="s">
        <v>352</v>
      </c>
      <c r="G81" s="2" t="s">
        <v>15</v>
      </c>
      <c r="H81" s="6" t="s">
        <v>16</v>
      </c>
      <c r="I81" s="6"/>
      <c r="J81" s="7"/>
    </row>
    <row r="82" spans="1:10" s="8" customFormat="1">
      <c r="A82" s="6">
        <v>72</v>
      </c>
      <c r="B82" s="66" t="s">
        <v>353</v>
      </c>
      <c r="C82" s="149">
        <v>116</v>
      </c>
      <c r="D82" s="2" t="s">
        <v>12</v>
      </c>
      <c r="E82" s="2" t="s">
        <v>354</v>
      </c>
      <c r="F82" s="67" t="s">
        <v>355</v>
      </c>
      <c r="G82" s="2" t="s">
        <v>15</v>
      </c>
      <c r="H82" s="6" t="s">
        <v>16</v>
      </c>
      <c r="I82" s="6"/>
      <c r="J82" s="7"/>
    </row>
    <row r="83" spans="1:10" s="8" customFormat="1">
      <c r="A83" s="6">
        <v>73</v>
      </c>
      <c r="B83" s="66" t="s">
        <v>551</v>
      </c>
      <c r="C83" s="149">
        <v>9.44</v>
      </c>
      <c r="D83" s="2" t="s">
        <v>12</v>
      </c>
      <c r="E83" s="2" t="s">
        <v>356</v>
      </c>
      <c r="F83" s="67" t="s">
        <v>357</v>
      </c>
      <c r="G83" s="2" t="s">
        <v>15</v>
      </c>
      <c r="H83" s="6" t="s">
        <v>16</v>
      </c>
      <c r="I83" s="6"/>
      <c r="J83" s="7" t="s">
        <v>550</v>
      </c>
    </row>
    <row r="84" spans="1:10" s="8" customFormat="1">
      <c r="A84" s="6">
        <v>74</v>
      </c>
      <c r="B84" s="66" t="s">
        <v>358</v>
      </c>
      <c r="C84" s="149">
        <v>14.3</v>
      </c>
      <c r="D84" s="2" t="s">
        <v>12</v>
      </c>
      <c r="E84" s="2" t="s">
        <v>359</v>
      </c>
      <c r="F84" s="67" t="s">
        <v>360</v>
      </c>
      <c r="G84" s="2" t="s">
        <v>15</v>
      </c>
      <c r="H84" s="6" t="s">
        <v>16</v>
      </c>
      <c r="I84" s="6"/>
      <c r="J84" s="7" t="s">
        <v>549</v>
      </c>
    </row>
    <row r="85" spans="1:10" s="8" customFormat="1">
      <c r="A85" s="6">
        <v>75</v>
      </c>
      <c r="B85" s="66" t="s">
        <v>361</v>
      </c>
      <c r="C85" s="149">
        <v>32.700000000000003</v>
      </c>
      <c r="D85" s="2" t="s">
        <v>12</v>
      </c>
      <c r="E85" s="2" t="s">
        <v>362</v>
      </c>
      <c r="F85" s="67" t="s">
        <v>363</v>
      </c>
      <c r="G85" s="2" t="s">
        <v>15</v>
      </c>
      <c r="H85" s="6" t="s">
        <v>16</v>
      </c>
      <c r="I85" s="6"/>
      <c r="J85" s="7"/>
    </row>
    <row r="86" spans="1:10" ht="31">
      <c r="A86" s="6">
        <v>76</v>
      </c>
      <c r="B86" s="6">
        <v>352</v>
      </c>
      <c r="C86" s="147">
        <f>2.28+1.25</f>
        <v>3.53</v>
      </c>
      <c r="D86" s="55" t="s">
        <v>364</v>
      </c>
      <c r="E86" s="56" t="s">
        <v>365</v>
      </c>
      <c r="F86" s="12" t="s">
        <v>366</v>
      </c>
      <c r="G86" s="6"/>
      <c r="H86" s="6" t="s">
        <v>244</v>
      </c>
      <c r="I86" s="6">
        <v>3529011500</v>
      </c>
      <c r="J86" s="24" t="s">
        <v>611</v>
      </c>
    </row>
    <row r="87" spans="1:10" ht="48">
      <c r="A87" s="6">
        <v>77</v>
      </c>
      <c r="B87" s="6">
        <v>401</v>
      </c>
      <c r="C87" s="147">
        <f>1.81+2.23</f>
        <v>4.04</v>
      </c>
      <c r="D87" s="84" t="s">
        <v>364</v>
      </c>
      <c r="E87" s="89" t="s">
        <v>367</v>
      </c>
      <c r="F87" s="24" t="s">
        <v>368</v>
      </c>
      <c r="G87" s="6"/>
      <c r="H87" s="6" t="s">
        <v>369</v>
      </c>
      <c r="I87" s="6">
        <v>4011600100</v>
      </c>
      <c r="J87" s="24" t="s">
        <v>370</v>
      </c>
    </row>
    <row r="88" spans="1:10" ht="17">
      <c r="A88" s="6">
        <v>78</v>
      </c>
      <c r="B88" s="14">
        <v>3524</v>
      </c>
      <c r="C88" s="150">
        <v>1</v>
      </c>
      <c r="D88" s="84" t="s">
        <v>364</v>
      </c>
      <c r="E88" s="68" t="s">
        <v>371</v>
      </c>
      <c r="F88" s="68" t="s">
        <v>372</v>
      </c>
      <c r="G88" s="6"/>
      <c r="H88" s="6" t="s">
        <v>261</v>
      </c>
      <c r="I88" s="6">
        <v>3524500700</v>
      </c>
      <c r="J88" s="24" t="s">
        <v>373</v>
      </c>
    </row>
    <row r="89" spans="1:10" ht="46.5">
      <c r="A89" s="6">
        <v>79</v>
      </c>
      <c r="B89" s="6">
        <v>401</v>
      </c>
      <c r="C89" s="147">
        <f>5.41+2.23</f>
        <v>7.6400000000000006</v>
      </c>
      <c r="D89" s="84" t="s">
        <v>364</v>
      </c>
      <c r="E89" s="85" t="s">
        <v>374</v>
      </c>
      <c r="F89" s="24" t="s">
        <v>375</v>
      </c>
      <c r="G89" s="6"/>
      <c r="H89" s="6" t="s">
        <v>16</v>
      </c>
      <c r="I89" s="6">
        <v>4011220000</v>
      </c>
      <c r="J89" s="24" t="s">
        <v>376</v>
      </c>
    </row>
    <row r="90" spans="1:10" ht="62">
      <c r="A90" s="6">
        <v>80</v>
      </c>
      <c r="B90" s="6"/>
      <c r="C90" s="142">
        <f>(3.11*0.7+2.42*0.3)+1.25</f>
        <v>4.1529999999999996</v>
      </c>
      <c r="D90" s="55" t="s">
        <v>364</v>
      </c>
      <c r="E90" s="56" t="s">
        <v>377</v>
      </c>
      <c r="F90" s="24" t="s">
        <v>378</v>
      </c>
      <c r="G90" s="6"/>
      <c r="H90" s="6" t="s">
        <v>16</v>
      </c>
      <c r="I90" s="6" t="s">
        <v>379</v>
      </c>
      <c r="J90" s="24" t="s">
        <v>380</v>
      </c>
    </row>
    <row r="91" spans="1:10" ht="31">
      <c r="A91" s="6"/>
      <c r="B91" s="6">
        <v>352</v>
      </c>
      <c r="C91" s="151">
        <f>2.47+1.25</f>
        <v>3.72</v>
      </c>
      <c r="D91" s="86" t="s">
        <v>364</v>
      </c>
      <c r="E91" s="87" t="s">
        <v>381</v>
      </c>
      <c r="F91" s="24" t="s">
        <v>382</v>
      </c>
      <c r="G91" s="6"/>
      <c r="H91" s="6" t="s">
        <v>16</v>
      </c>
      <c r="I91" s="6"/>
      <c r="J91" s="24" t="s">
        <v>613</v>
      </c>
    </row>
    <row r="92" spans="1:10" ht="31">
      <c r="A92" s="6"/>
      <c r="B92" s="6">
        <v>352</v>
      </c>
      <c r="C92" s="151">
        <f>2.47+1.25</f>
        <v>3.72</v>
      </c>
      <c r="D92" s="86" t="s">
        <v>364</v>
      </c>
      <c r="E92" s="87" t="s">
        <v>381</v>
      </c>
      <c r="F92" s="24" t="s">
        <v>382</v>
      </c>
      <c r="G92" s="6"/>
      <c r="H92" s="6" t="s">
        <v>16</v>
      </c>
      <c r="I92" s="6"/>
      <c r="J92" s="24" t="s">
        <v>612</v>
      </c>
    </row>
    <row r="93" spans="1:10" ht="31">
      <c r="A93" s="6">
        <v>81</v>
      </c>
      <c r="B93" s="6">
        <v>352</v>
      </c>
      <c r="C93" s="151">
        <f>2.47+1.25</f>
        <v>3.72</v>
      </c>
      <c r="D93" s="86" t="s">
        <v>364</v>
      </c>
      <c r="E93" s="87" t="s">
        <v>381</v>
      </c>
      <c r="F93" s="24" t="s">
        <v>382</v>
      </c>
      <c r="G93" s="6"/>
      <c r="H93" s="6" t="s">
        <v>16</v>
      </c>
      <c r="I93" s="6" t="s">
        <v>383</v>
      </c>
      <c r="J93" s="24" t="s">
        <v>614</v>
      </c>
    </row>
    <row r="94" spans="1:10" ht="46.5">
      <c r="A94" s="6">
        <v>82</v>
      </c>
      <c r="B94" s="6">
        <v>335</v>
      </c>
      <c r="C94" s="152">
        <f>5.41+2.23</f>
        <v>7.6400000000000006</v>
      </c>
      <c r="D94" s="88" t="s">
        <v>364</v>
      </c>
      <c r="E94" s="85" t="s">
        <v>374</v>
      </c>
      <c r="F94" s="24" t="s">
        <v>384</v>
      </c>
      <c r="G94" s="6"/>
      <c r="H94" s="6" t="s">
        <v>16</v>
      </c>
      <c r="I94" s="69" t="s">
        <v>385</v>
      </c>
      <c r="J94" s="24" t="s">
        <v>386</v>
      </c>
    </row>
    <row r="95" spans="1:10" ht="46.5">
      <c r="A95" s="6">
        <v>83</v>
      </c>
      <c r="B95" s="6">
        <v>335</v>
      </c>
      <c r="C95" s="153">
        <f>3.2+2.23</f>
        <v>5.43</v>
      </c>
      <c r="D95" s="55" t="s">
        <v>387</v>
      </c>
      <c r="E95" s="56" t="s">
        <v>388</v>
      </c>
      <c r="F95" s="24" t="s">
        <v>389</v>
      </c>
      <c r="G95" s="6"/>
      <c r="H95" s="6" t="s">
        <v>16</v>
      </c>
      <c r="I95" s="6" t="s">
        <v>390</v>
      </c>
      <c r="J95" s="24" t="s">
        <v>391</v>
      </c>
    </row>
    <row r="96" spans="1:10" ht="46.5">
      <c r="A96" s="6">
        <v>84</v>
      </c>
      <c r="B96" s="6">
        <v>404</v>
      </c>
      <c r="C96" s="153">
        <f>3.2+2.23</f>
        <v>5.43</v>
      </c>
      <c r="D96" s="55" t="s">
        <v>387</v>
      </c>
      <c r="E96" s="56" t="s">
        <v>388</v>
      </c>
      <c r="F96" s="24" t="s">
        <v>389</v>
      </c>
      <c r="G96" s="6"/>
      <c r="H96" s="6" t="s">
        <v>16</v>
      </c>
      <c r="I96" s="58" t="s">
        <v>392</v>
      </c>
      <c r="J96" s="70" t="s">
        <v>545</v>
      </c>
    </row>
    <row r="97" spans="1:10" ht="31">
      <c r="A97" s="6">
        <v>85</v>
      </c>
      <c r="B97" s="6">
        <v>381</v>
      </c>
      <c r="C97" s="153">
        <f>C87+C96</f>
        <v>9.4699999999999989</v>
      </c>
      <c r="D97" s="55" t="s">
        <v>387</v>
      </c>
      <c r="E97" s="56" t="e">
        <f>E87+E96</f>
        <v>#VALUE!</v>
      </c>
      <c r="F97" s="24" t="s">
        <v>542</v>
      </c>
      <c r="G97" s="6"/>
      <c r="H97" s="6"/>
      <c r="I97" s="58" t="s">
        <v>544</v>
      </c>
      <c r="J97" s="70" t="s">
        <v>546</v>
      </c>
    </row>
    <row r="98" spans="1:10" ht="17">
      <c r="A98" s="6">
        <v>86</v>
      </c>
      <c r="B98" s="6"/>
      <c r="C98" s="141"/>
      <c r="D98" s="6"/>
      <c r="E98" s="6"/>
      <c r="F98" s="68" t="s">
        <v>393</v>
      </c>
      <c r="G98" s="6"/>
      <c r="H98" s="6"/>
      <c r="I98" s="6"/>
      <c r="J98" s="24"/>
    </row>
    <row r="99" spans="1:10" ht="17">
      <c r="A99" s="6">
        <v>87</v>
      </c>
      <c r="B99" s="6"/>
      <c r="C99" s="141">
        <v>3.99</v>
      </c>
      <c r="D99" s="6"/>
      <c r="E99" s="68" t="s">
        <v>394</v>
      </c>
      <c r="F99" s="68" t="s">
        <v>395</v>
      </c>
      <c r="G99" s="6"/>
      <c r="H99" s="6" t="s">
        <v>261</v>
      </c>
      <c r="I99" s="6"/>
      <c r="J99" s="24"/>
    </row>
    <row r="100" spans="1:10" ht="31">
      <c r="A100" s="6">
        <v>88</v>
      </c>
      <c r="B100" s="14">
        <v>402</v>
      </c>
      <c r="C100" s="150">
        <v>1.99</v>
      </c>
      <c r="D100" s="6" t="s">
        <v>364</v>
      </c>
      <c r="E100" s="6" t="s">
        <v>212</v>
      </c>
      <c r="F100" s="6" t="s">
        <v>396</v>
      </c>
      <c r="G100" s="6"/>
      <c r="H100" s="6" t="s">
        <v>16</v>
      </c>
      <c r="I100" s="24" t="s">
        <v>397</v>
      </c>
      <c r="J100" s="24" t="s">
        <v>398</v>
      </c>
    </row>
    <row r="101" spans="1:10" ht="31">
      <c r="A101" s="6">
        <v>89</v>
      </c>
      <c r="B101" s="6">
        <v>402</v>
      </c>
      <c r="C101" s="154">
        <v>5.51</v>
      </c>
      <c r="D101" s="6" t="s">
        <v>364</v>
      </c>
      <c r="E101" s="61" t="s">
        <v>399</v>
      </c>
      <c r="F101" s="6"/>
      <c r="G101" s="6"/>
      <c r="H101" s="6" t="s">
        <v>16</v>
      </c>
      <c r="I101" s="61" t="s">
        <v>400</v>
      </c>
      <c r="J101" s="24" t="s">
        <v>401</v>
      </c>
    </row>
    <row r="102" spans="1:10" s="64" customFormat="1" ht="38" customHeight="1">
      <c r="A102" s="6">
        <v>90</v>
      </c>
      <c r="B102" s="71">
        <v>362071</v>
      </c>
      <c r="C102" s="155">
        <v>14.5</v>
      </c>
      <c r="D102" s="72" t="s">
        <v>364</v>
      </c>
      <c r="E102" s="73" t="s">
        <v>402</v>
      </c>
      <c r="F102" s="72" t="s">
        <v>403</v>
      </c>
      <c r="G102" s="72"/>
      <c r="H102" s="6" t="s">
        <v>16</v>
      </c>
      <c r="I102" s="72"/>
      <c r="J102" s="74" t="s">
        <v>404</v>
      </c>
    </row>
    <row r="103" spans="1:10">
      <c r="A103" s="6">
        <v>91</v>
      </c>
      <c r="B103" s="6">
        <v>402</v>
      </c>
      <c r="C103" s="156">
        <v>3.7229999999999999</v>
      </c>
      <c r="D103" s="6" t="s">
        <v>364</v>
      </c>
      <c r="E103" s="75" t="s">
        <v>405</v>
      </c>
      <c r="F103" s="76" t="s">
        <v>406</v>
      </c>
      <c r="G103" s="69"/>
      <c r="H103" s="77" t="s">
        <v>407</v>
      </c>
      <c r="I103" s="78">
        <v>4023105927</v>
      </c>
      <c r="J103" s="79" t="s">
        <v>408</v>
      </c>
    </row>
    <row r="104" spans="1:10">
      <c r="A104" s="6">
        <v>92</v>
      </c>
      <c r="B104" s="6">
        <v>402</v>
      </c>
      <c r="C104" s="156">
        <v>3.32</v>
      </c>
      <c r="D104" s="6" t="s">
        <v>364</v>
      </c>
      <c r="E104" s="80" t="s">
        <v>409</v>
      </c>
      <c r="F104" s="76" t="s">
        <v>406</v>
      </c>
      <c r="G104" s="6"/>
      <c r="H104" s="77" t="s">
        <v>407</v>
      </c>
      <c r="I104" s="78">
        <v>4023123627</v>
      </c>
      <c r="J104" s="79" t="s">
        <v>408</v>
      </c>
    </row>
    <row r="105" spans="1:10">
      <c r="A105" s="6">
        <v>93</v>
      </c>
      <c r="B105" s="6">
        <v>402</v>
      </c>
      <c r="C105" s="156">
        <v>3.32</v>
      </c>
      <c r="D105" s="6" t="s">
        <v>364</v>
      </c>
      <c r="E105" s="75" t="s">
        <v>410</v>
      </c>
      <c r="F105" s="76" t="s">
        <v>406</v>
      </c>
      <c r="G105" s="6"/>
      <c r="H105" s="77" t="s">
        <v>407</v>
      </c>
      <c r="I105" s="78">
        <v>4023106727</v>
      </c>
      <c r="J105" s="79" t="s">
        <v>408</v>
      </c>
    </row>
    <row r="106" spans="1:10">
      <c r="A106" s="6">
        <v>94</v>
      </c>
      <c r="B106" s="6">
        <v>402</v>
      </c>
      <c r="C106" s="156">
        <v>2.8450000000000002</v>
      </c>
      <c r="D106" s="6" t="s">
        <v>364</v>
      </c>
      <c r="E106" s="80" t="s">
        <v>411</v>
      </c>
      <c r="F106" s="76" t="s">
        <v>406</v>
      </c>
      <c r="G106" s="6"/>
      <c r="H106" s="77" t="s">
        <v>407</v>
      </c>
      <c r="I106" s="78">
        <v>4023128527</v>
      </c>
      <c r="J106" s="79" t="s">
        <v>408</v>
      </c>
    </row>
    <row r="107" spans="1:10">
      <c r="A107" s="6">
        <v>95</v>
      </c>
      <c r="B107" s="6">
        <v>402</v>
      </c>
      <c r="C107" s="150">
        <v>3.440922</v>
      </c>
      <c r="D107" s="6" t="s">
        <v>364</v>
      </c>
      <c r="E107" s="6" t="s">
        <v>412</v>
      </c>
      <c r="F107" s="6" t="s">
        <v>413</v>
      </c>
      <c r="G107" s="6"/>
      <c r="H107" s="6"/>
      <c r="I107" s="6">
        <v>4020522800</v>
      </c>
      <c r="J107" s="24" t="s">
        <v>414</v>
      </c>
    </row>
    <row r="108" spans="1:10">
      <c r="A108" s="6">
        <v>96</v>
      </c>
      <c r="B108" s="6">
        <v>402</v>
      </c>
      <c r="C108" s="156">
        <v>2.4550000000000001</v>
      </c>
      <c r="D108" s="6"/>
      <c r="E108" s="81" t="s">
        <v>415</v>
      </c>
      <c r="F108" s="76" t="s">
        <v>406</v>
      </c>
      <c r="G108" s="6"/>
      <c r="H108" s="77" t="s">
        <v>407</v>
      </c>
      <c r="I108" s="78">
        <v>4023125100</v>
      </c>
      <c r="J108" s="24" t="s">
        <v>416</v>
      </c>
    </row>
    <row r="109" spans="1:10">
      <c r="A109" s="6">
        <v>97</v>
      </c>
      <c r="B109" s="6">
        <v>402</v>
      </c>
      <c r="C109" s="156">
        <v>3.47</v>
      </c>
      <c r="D109" s="6"/>
      <c r="E109" s="82" t="s">
        <v>417</v>
      </c>
      <c r="F109" s="76" t="s">
        <v>406</v>
      </c>
      <c r="G109" s="6"/>
      <c r="H109" s="77" t="s">
        <v>407</v>
      </c>
      <c r="I109" s="83">
        <v>4023106418</v>
      </c>
      <c r="J109" s="24" t="s">
        <v>418</v>
      </c>
    </row>
    <row r="113" spans="2:10">
      <c r="D113" s="172"/>
      <c r="E113" s="173"/>
      <c r="F113" s="174"/>
    </row>
    <row r="114" spans="2:10">
      <c r="D114" s="172"/>
      <c r="E114" s="173"/>
      <c r="F114" s="174"/>
    </row>
    <row r="115" spans="2:10">
      <c r="C115" s="158"/>
      <c r="J115" s="9"/>
    </row>
    <row r="116" spans="2:10">
      <c r="C116" s="158"/>
      <c r="J116" s="9"/>
    </row>
    <row r="117" spans="2:10">
      <c r="C117" s="158"/>
      <c r="J117" s="9"/>
    </row>
    <row r="118" spans="2:10">
      <c r="C118" s="158"/>
      <c r="J118" s="9"/>
    </row>
    <row r="119" spans="2:10">
      <c r="C119" s="158"/>
      <c r="J119" s="9"/>
    </row>
    <row r="120" spans="2:10">
      <c r="B120" s="60"/>
      <c r="C120" s="158"/>
      <c r="J120" s="9"/>
    </row>
    <row r="121" spans="2:10">
      <c r="B121" s="60"/>
      <c r="C121" s="158"/>
      <c r="J121" s="9"/>
    </row>
    <row r="122" spans="2:10">
      <c r="B122" s="60"/>
      <c r="C122" s="158"/>
      <c r="J122" s="9"/>
    </row>
    <row r="123" spans="2:10">
      <c r="B123" s="60"/>
      <c r="C123" s="158"/>
      <c r="E123" s="9" t="s">
        <v>419</v>
      </c>
      <c r="J123" s="9"/>
    </row>
    <row r="124" spans="2:10" ht="16" thickBot="1">
      <c r="C124" s="158"/>
      <c r="E124" s="90"/>
      <c r="F124" s="90"/>
      <c r="G124" s="90"/>
      <c r="H124" s="90"/>
      <c r="J124" s="9"/>
    </row>
    <row r="125" spans="2:10" ht="16" thickBot="1">
      <c r="C125" s="158"/>
      <c r="E125" s="8" t="s">
        <v>420</v>
      </c>
      <c r="F125" s="91" t="s">
        <v>421</v>
      </c>
      <c r="G125" s="91">
        <v>3.04</v>
      </c>
      <c r="H125" s="92" t="s">
        <v>422</v>
      </c>
      <c r="I125" s="9">
        <f>3.04*0.9</f>
        <v>2.7360000000000002</v>
      </c>
      <c r="J125" s="9"/>
    </row>
    <row r="126" spans="2:10" ht="16" thickBot="1">
      <c r="C126" s="158"/>
      <c r="E126" s="8" t="s">
        <v>423</v>
      </c>
      <c r="F126" s="91" t="s">
        <v>424</v>
      </c>
      <c r="G126" s="91">
        <v>1.28</v>
      </c>
      <c r="H126" s="92" t="s">
        <v>422</v>
      </c>
      <c r="I126" s="9">
        <f>G126*0.1</f>
        <v>0.128</v>
      </c>
      <c r="J126" s="9"/>
    </row>
    <row r="127" spans="2:10">
      <c r="G127" s="9">
        <f>3.8+1.28</f>
        <v>5.08</v>
      </c>
    </row>
    <row r="129" spans="5:10">
      <c r="F129" s="93">
        <v>170</v>
      </c>
    </row>
    <row r="138" spans="5:10">
      <c r="E138" s="95" t="s">
        <v>543</v>
      </c>
      <c r="F138" s="95" t="s">
        <v>538</v>
      </c>
      <c r="G138" s="96">
        <f>G143+G144</f>
        <v>9.4699999999999989</v>
      </c>
      <c r="H138" s="96"/>
      <c r="I138" s="96"/>
      <c r="J138" s="9"/>
    </row>
    <row r="139" spans="5:10" ht="17">
      <c r="E139" s="97" t="s">
        <v>530</v>
      </c>
      <c r="F139" s="97" t="s">
        <v>531</v>
      </c>
      <c r="G139" s="96"/>
      <c r="H139" s="96"/>
      <c r="I139" s="96"/>
      <c r="J139" s="9"/>
    </row>
    <row r="140" spans="5:10" ht="17">
      <c r="E140" s="97" t="s">
        <v>532</v>
      </c>
      <c r="F140" s="97" t="s">
        <v>541</v>
      </c>
      <c r="G140" s="96"/>
      <c r="H140" s="96"/>
      <c r="I140" s="96"/>
      <c r="J140" s="9"/>
    </row>
    <row r="141" spans="5:10" ht="17">
      <c r="E141" s="97" t="s">
        <v>533</v>
      </c>
      <c r="F141" s="97" t="s">
        <v>534</v>
      </c>
      <c r="G141" s="96"/>
      <c r="H141" s="96"/>
      <c r="I141" s="96"/>
      <c r="J141" s="9"/>
    </row>
    <row r="142" spans="5:10" ht="17">
      <c r="E142" s="97" t="s">
        <v>535</v>
      </c>
      <c r="F142" s="97" t="s">
        <v>536</v>
      </c>
      <c r="G142" s="96"/>
      <c r="H142" s="96"/>
      <c r="I142" s="96"/>
      <c r="J142" s="9"/>
    </row>
    <row r="143" spans="5:10" ht="46" customHeight="1">
      <c r="E143" s="98" t="s">
        <v>539</v>
      </c>
      <c r="F143" s="99" t="s">
        <v>534</v>
      </c>
      <c r="G143" s="57">
        <f>3.2+2.23</f>
        <v>5.43</v>
      </c>
      <c r="H143" s="55" t="s">
        <v>387</v>
      </c>
      <c r="I143" s="56" t="s">
        <v>388</v>
      </c>
      <c r="J143" s="9"/>
    </row>
    <row r="144" spans="5:10" ht="49" customHeight="1">
      <c r="E144" s="98" t="s">
        <v>540</v>
      </c>
      <c r="F144" s="99" t="s">
        <v>537</v>
      </c>
      <c r="G144" s="100">
        <f>1.81+2.23</f>
        <v>4.04</v>
      </c>
      <c r="H144" s="101" t="s">
        <v>364</v>
      </c>
      <c r="I144" s="102" t="s">
        <v>367</v>
      </c>
      <c r="J144" s="9"/>
    </row>
    <row r="152" spans="2:9" ht="16" thickBot="1"/>
    <row r="153" spans="2:9" ht="29.5" thickBot="1">
      <c r="B153" s="107" t="s">
        <v>564</v>
      </c>
      <c r="C153" s="159" t="s">
        <v>565</v>
      </c>
      <c r="D153" s="108" t="s">
        <v>566</v>
      </c>
      <c r="E153" s="108" t="s">
        <v>567</v>
      </c>
      <c r="F153" s="108" t="s">
        <v>568</v>
      </c>
      <c r="G153" s="107" t="s">
        <v>569</v>
      </c>
      <c r="H153" s="107" t="s">
        <v>570</v>
      </c>
      <c r="I153" s="109" t="s">
        <v>571</v>
      </c>
    </row>
    <row r="154" spans="2:9" ht="16" hidden="1" thickBot="1">
      <c r="B154" s="110" t="s">
        <v>572</v>
      </c>
      <c r="C154" s="160">
        <v>4023105927</v>
      </c>
      <c r="D154" s="111" t="s">
        <v>573</v>
      </c>
      <c r="E154" s="111">
        <v>0</v>
      </c>
      <c r="F154" s="112" t="s">
        <v>574</v>
      </c>
      <c r="G154" s="113">
        <v>3.7229999999999999</v>
      </c>
      <c r="H154" s="113" t="s">
        <v>575</v>
      </c>
      <c r="I154" s="114"/>
    </row>
    <row r="155" spans="2:9" ht="16" hidden="1" thickBot="1">
      <c r="B155" s="115" t="s">
        <v>572</v>
      </c>
      <c r="C155" s="161">
        <v>4023123627</v>
      </c>
      <c r="D155" s="116" t="s">
        <v>576</v>
      </c>
      <c r="E155" s="116">
        <v>13</v>
      </c>
      <c r="F155" s="117" t="s">
        <v>577</v>
      </c>
      <c r="G155" s="116">
        <v>3.32</v>
      </c>
      <c r="H155" s="116">
        <v>0.40300000000000002</v>
      </c>
      <c r="I155" s="118">
        <v>0.1082</v>
      </c>
    </row>
    <row r="156" spans="2:9" ht="16" hidden="1" thickBot="1">
      <c r="B156" s="119" t="s">
        <v>572</v>
      </c>
      <c r="C156" s="162">
        <v>4023106727</v>
      </c>
      <c r="D156" s="113" t="s">
        <v>578</v>
      </c>
      <c r="E156" s="113">
        <v>13</v>
      </c>
      <c r="F156" s="120" t="s">
        <v>579</v>
      </c>
      <c r="G156" s="113">
        <v>3.32</v>
      </c>
      <c r="H156" s="113">
        <v>0.40300000000000002</v>
      </c>
      <c r="I156" s="121">
        <v>0.1082</v>
      </c>
    </row>
    <row r="157" spans="2:9" ht="16" hidden="1" thickBot="1">
      <c r="B157" s="115" t="s">
        <v>572</v>
      </c>
      <c r="C157" s="161">
        <v>4023128527</v>
      </c>
      <c r="D157" s="116" t="s">
        <v>576</v>
      </c>
      <c r="E157" s="116">
        <v>25</v>
      </c>
      <c r="F157" s="117" t="s">
        <v>580</v>
      </c>
      <c r="G157" s="116">
        <v>2.8450000000000002</v>
      </c>
      <c r="H157" s="116">
        <v>0.877</v>
      </c>
      <c r="I157" s="118">
        <v>0.23569999999999999</v>
      </c>
    </row>
    <row r="158" spans="2:9" ht="16" hidden="1" thickBot="1">
      <c r="B158" s="119" t="s">
        <v>572</v>
      </c>
      <c r="C158" s="163" t="s">
        <v>581</v>
      </c>
      <c r="D158" s="113" t="s">
        <v>576</v>
      </c>
      <c r="E158" s="113">
        <v>35</v>
      </c>
      <c r="F158" s="120" t="s">
        <v>582</v>
      </c>
      <c r="G158" s="113">
        <v>2.5369999999999999</v>
      </c>
      <c r="H158" s="113">
        <v>1.1850000000000001</v>
      </c>
      <c r="I158" s="121">
        <v>0.31840000000000002</v>
      </c>
    </row>
    <row r="159" spans="2:9" ht="16" hidden="1" thickBot="1">
      <c r="B159" s="122" t="s">
        <v>572</v>
      </c>
      <c r="C159" s="164" t="s">
        <v>581</v>
      </c>
      <c r="D159" s="116" t="s">
        <v>576</v>
      </c>
      <c r="E159" s="116">
        <v>50</v>
      </c>
      <c r="F159" s="117" t="s">
        <v>583</v>
      </c>
      <c r="G159" s="116">
        <v>1.8140000000000001</v>
      </c>
      <c r="H159" s="116">
        <v>1.909</v>
      </c>
      <c r="I159" s="118">
        <v>0.51280000000000003</v>
      </c>
    </row>
    <row r="160" spans="2:9" ht="16" hidden="1" thickBot="1">
      <c r="B160" s="123" t="s">
        <v>584</v>
      </c>
      <c r="C160" s="165" t="s">
        <v>581</v>
      </c>
      <c r="D160" s="111" t="s">
        <v>573</v>
      </c>
      <c r="E160" s="111">
        <v>0</v>
      </c>
      <c r="F160" s="112" t="s">
        <v>585</v>
      </c>
      <c r="G160" s="113">
        <v>2.7909999999999999</v>
      </c>
      <c r="H160" s="113" t="s">
        <v>575</v>
      </c>
      <c r="I160" s="114"/>
    </row>
    <row r="161" spans="2:9" ht="16" hidden="1" thickBot="1">
      <c r="B161" s="122" t="s">
        <v>584</v>
      </c>
      <c r="C161" s="161">
        <v>4023125100</v>
      </c>
      <c r="D161" s="116" t="s">
        <v>576</v>
      </c>
      <c r="E161" s="116">
        <v>25</v>
      </c>
      <c r="F161" s="117" t="s">
        <v>586</v>
      </c>
      <c r="G161" s="116">
        <v>2.4550000000000001</v>
      </c>
      <c r="H161" s="116">
        <v>0.33600000000000002</v>
      </c>
      <c r="I161" s="118">
        <v>0.12039999999999999</v>
      </c>
    </row>
    <row r="162" spans="2:9" ht="16" hidden="1" thickBot="1">
      <c r="B162" s="124" t="s">
        <v>584</v>
      </c>
      <c r="C162" s="166">
        <v>4023129600</v>
      </c>
      <c r="D162" s="116" t="s">
        <v>576</v>
      </c>
      <c r="E162" s="113">
        <v>50</v>
      </c>
      <c r="F162" s="120" t="s">
        <v>587</v>
      </c>
      <c r="G162" s="113">
        <v>2.12</v>
      </c>
      <c r="H162" s="113">
        <v>0.67100000000000004</v>
      </c>
      <c r="I162" s="121">
        <v>0.2404</v>
      </c>
    </row>
    <row r="163" spans="2:9" ht="16" thickBot="1">
      <c r="B163" s="127" t="s">
        <v>588</v>
      </c>
      <c r="C163" s="167">
        <v>4023106418</v>
      </c>
      <c r="D163" s="128" t="s">
        <v>573</v>
      </c>
      <c r="E163" s="128">
        <v>0</v>
      </c>
      <c r="F163" s="125" t="s">
        <v>589</v>
      </c>
      <c r="G163" s="128">
        <v>3.47</v>
      </c>
      <c r="H163" s="128">
        <v>0.32</v>
      </c>
      <c r="I163" s="130">
        <v>9.2200000000000004E-2</v>
      </c>
    </row>
    <row r="164" spans="2:9" ht="16" thickBot="1">
      <c r="B164" s="127" t="s">
        <v>588</v>
      </c>
      <c r="C164" s="167">
        <v>4023106418</v>
      </c>
      <c r="D164" s="128" t="s">
        <v>573</v>
      </c>
      <c r="E164" s="129">
        <v>0</v>
      </c>
      <c r="F164" s="126" t="s">
        <v>590</v>
      </c>
      <c r="G164" s="129">
        <v>4.0869999999999997</v>
      </c>
      <c r="H164" s="129"/>
      <c r="I164" s="131"/>
    </row>
  </sheetData>
  <autoFilter ref="A1:J109" xr:uid="{EE5E2A46-1F08-4209-AE23-52BC758D48E4}"/>
  <mergeCells count="3">
    <mergeCell ref="D113:D114"/>
    <mergeCell ref="E113:E114"/>
    <mergeCell ref="F113:F114"/>
  </mergeCells>
  <phoneticPr fontId="1" type="noConversion"/>
  <conditionalFormatting sqref="C11">
    <cfRule type="duplicateValues" dxfId="2" priority="4"/>
  </conditionalFormatting>
  <conditionalFormatting sqref="J96:J97">
    <cfRule type="containsText" dxfId="1" priority="1" stopIfTrue="1" operator="containsText" text="pa66">
      <formula>NOT(ISERROR(SEARCH("pa66",J96)))</formula>
    </cfRule>
  </conditionalFormatting>
  <conditionalFormatting sqref="E40:E43">
    <cfRule type="duplicateValues" dxfId="0" priority="6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C1" sqref="C1"/>
    </sheetView>
  </sheetViews>
  <sheetFormatPr defaultRowHeight="17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F9"/>
  <sheetViews>
    <sheetView zoomScale="85" zoomScaleNormal="85" workbookViewId="0">
      <selection activeCell="E8" sqref="E8"/>
    </sheetView>
  </sheetViews>
  <sheetFormatPr defaultColWidth="8.90625" defaultRowHeight="15.5"/>
  <cols>
    <col min="1" max="2" width="8.90625" style="1"/>
    <col min="3" max="3" width="10.453125" style="1" customWidth="1"/>
    <col min="4" max="4" width="75.08984375" style="1" customWidth="1"/>
    <col min="5" max="5" width="47" style="1" customWidth="1"/>
    <col min="6" max="6" width="18.08984375" style="5" customWidth="1"/>
    <col min="7" max="16384" width="8.90625" style="1"/>
  </cols>
  <sheetData>
    <row r="1" spans="1:6" ht="20.149999999999999" customHeight="1">
      <c r="A1" s="2" t="s">
        <v>425</v>
      </c>
      <c r="B1" s="39" t="s">
        <v>4</v>
      </c>
      <c r="C1" s="39" t="s">
        <v>5</v>
      </c>
      <c r="D1" s="40" t="s">
        <v>6</v>
      </c>
      <c r="E1" s="3" t="s">
        <v>426</v>
      </c>
      <c r="F1" s="40" t="s">
        <v>8</v>
      </c>
    </row>
    <row r="2" spans="1:6" ht="30" customHeight="1">
      <c r="A2" s="2"/>
      <c r="B2" s="2">
        <v>9.0899999999999995E-2</v>
      </c>
      <c r="C2" s="2" t="s">
        <v>12</v>
      </c>
      <c r="D2" s="38" t="s">
        <v>427</v>
      </c>
      <c r="E2" s="38" t="s">
        <v>428</v>
      </c>
      <c r="F2" s="3" t="s">
        <v>429</v>
      </c>
    </row>
    <row r="3" spans="1:6" ht="30" customHeight="1">
      <c r="A3" s="2"/>
      <c r="B3" s="2">
        <v>0.16400000000000001</v>
      </c>
      <c r="C3" s="2" t="s">
        <v>12</v>
      </c>
      <c r="D3" s="38" t="s">
        <v>430</v>
      </c>
      <c r="E3" s="38" t="s">
        <v>431</v>
      </c>
      <c r="F3" s="3" t="s">
        <v>429</v>
      </c>
    </row>
    <row r="4" spans="1:6" ht="30" customHeight="1">
      <c r="A4" s="2"/>
      <c r="B4" s="2">
        <v>0.214</v>
      </c>
      <c r="C4" s="2" t="s">
        <v>12</v>
      </c>
      <c r="D4" s="38" t="s">
        <v>432</v>
      </c>
      <c r="E4" s="38" t="s">
        <v>433</v>
      </c>
      <c r="F4" s="3" t="s">
        <v>429</v>
      </c>
    </row>
    <row r="5" spans="1:6" ht="30" customHeight="1">
      <c r="A5" s="2"/>
      <c r="B5" s="2">
        <v>0.51100000000000001</v>
      </c>
      <c r="C5" s="2" t="s">
        <v>12</v>
      </c>
      <c r="D5" s="38" t="s">
        <v>434</v>
      </c>
      <c r="E5" s="38" t="s">
        <v>435</v>
      </c>
      <c r="F5" s="3" t="s">
        <v>429</v>
      </c>
    </row>
    <row r="6" spans="1:6" ht="30" customHeight="1">
      <c r="A6" s="2"/>
      <c r="B6" s="2">
        <v>1.27</v>
      </c>
      <c r="C6" s="2" t="s">
        <v>12</v>
      </c>
      <c r="D6" s="38" t="s">
        <v>436</v>
      </c>
      <c r="E6" s="38" t="s">
        <v>437</v>
      </c>
      <c r="F6" s="3" t="s">
        <v>429</v>
      </c>
    </row>
    <row r="7" spans="1:6" ht="30" customHeight="1">
      <c r="A7" s="2"/>
      <c r="B7" s="2">
        <v>9.3299999999999998E-3</v>
      </c>
      <c r="C7" s="2" t="s">
        <v>12</v>
      </c>
      <c r="D7" s="38" t="s">
        <v>438</v>
      </c>
      <c r="E7" s="41" t="s">
        <v>439</v>
      </c>
      <c r="F7" s="3" t="s">
        <v>429</v>
      </c>
    </row>
    <row r="8" spans="1:6" ht="30" customHeight="1">
      <c r="A8" s="2"/>
      <c r="B8" s="2">
        <v>0.752</v>
      </c>
      <c r="C8" s="2" t="s">
        <v>12</v>
      </c>
      <c r="D8" s="38" t="s">
        <v>440</v>
      </c>
      <c r="E8" s="41" t="s">
        <v>441</v>
      </c>
      <c r="F8" s="3" t="s">
        <v>429</v>
      </c>
    </row>
    <row r="9" spans="1:6" ht="30" customHeight="1">
      <c r="A9" s="2"/>
      <c r="B9" s="2">
        <v>0.54300000000000004</v>
      </c>
      <c r="C9" s="2" t="s">
        <v>442</v>
      </c>
      <c r="D9" s="38" t="s">
        <v>443</v>
      </c>
      <c r="E9" s="38" t="s">
        <v>435</v>
      </c>
      <c r="F9" s="3" t="s">
        <v>429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G9"/>
  <sheetViews>
    <sheetView workbookViewId="0">
      <selection activeCell="B7" sqref="B7"/>
    </sheetView>
  </sheetViews>
  <sheetFormatPr defaultColWidth="8.90625" defaultRowHeight="15.5"/>
  <cols>
    <col min="1" max="1" width="8.90625" style="1"/>
    <col min="2" max="2" width="9.08984375" style="1" bestFit="1" customWidth="1"/>
    <col min="3" max="3" width="13.7265625" style="1" customWidth="1"/>
    <col min="4" max="4" width="61.36328125" style="1" customWidth="1"/>
    <col min="5" max="5" width="40.90625" style="1" customWidth="1"/>
    <col min="6" max="6" width="16.453125" style="1" customWidth="1"/>
    <col min="7" max="16384" width="8.90625" style="1"/>
  </cols>
  <sheetData>
    <row r="1" spans="1:7" ht="20.149999999999999" customHeight="1">
      <c r="A1" s="2" t="s">
        <v>425</v>
      </c>
      <c r="B1" s="39" t="s">
        <v>4</v>
      </c>
      <c r="C1" s="39" t="s">
        <v>5</v>
      </c>
      <c r="D1" s="2" t="s">
        <v>444</v>
      </c>
      <c r="E1" s="3" t="s">
        <v>426</v>
      </c>
      <c r="F1" s="39" t="s">
        <v>8</v>
      </c>
    </row>
    <row r="2" spans="1:7" ht="20.149999999999999" customHeight="1">
      <c r="A2" s="2"/>
      <c r="B2" s="2">
        <v>0.71799999999999997</v>
      </c>
      <c r="C2" s="2" t="s">
        <v>12</v>
      </c>
      <c r="D2" s="2" t="s">
        <v>445</v>
      </c>
      <c r="E2" s="2" t="s">
        <v>446</v>
      </c>
      <c r="F2" s="2" t="s">
        <v>447</v>
      </c>
    </row>
    <row r="3" spans="1:7" ht="20.149999999999999" customHeight="1">
      <c r="A3" s="2"/>
      <c r="B3" s="2">
        <v>1.06</v>
      </c>
      <c r="C3" s="2" t="s">
        <v>12</v>
      </c>
      <c r="D3" s="2" t="s">
        <v>448</v>
      </c>
      <c r="E3" s="2" t="s">
        <v>449</v>
      </c>
      <c r="F3" s="2" t="s">
        <v>447</v>
      </c>
    </row>
    <row r="4" spans="1:7" ht="20.149999999999999" customHeight="1">
      <c r="A4" s="2"/>
      <c r="B4" s="2">
        <v>0.51300000000000001</v>
      </c>
      <c r="C4" s="2" t="s">
        <v>12</v>
      </c>
      <c r="D4" s="2" t="s">
        <v>450</v>
      </c>
      <c r="E4" s="2" t="s">
        <v>451</v>
      </c>
      <c r="F4" s="2" t="s">
        <v>447</v>
      </c>
    </row>
    <row r="5" spans="1:7" ht="20.149999999999999" customHeight="1">
      <c r="A5" s="2"/>
      <c r="B5" s="2">
        <v>0.38600000000000001</v>
      </c>
      <c r="C5" s="2" t="s">
        <v>12</v>
      </c>
      <c r="D5" s="2" t="s">
        <v>452</v>
      </c>
      <c r="E5" s="2" t="s">
        <v>453</v>
      </c>
      <c r="F5" s="2" t="s">
        <v>447</v>
      </c>
    </row>
    <row r="6" spans="1:7" ht="20.149999999999999" customHeight="1">
      <c r="A6" s="2"/>
      <c r="B6" s="2">
        <v>0.74099999999999999</v>
      </c>
      <c r="C6" s="2" t="s">
        <v>556</v>
      </c>
      <c r="D6" s="2" t="s">
        <v>557</v>
      </c>
      <c r="E6" s="105" t="s">
        <v>555</v>
      </c>
      <c r="F6" s="2" t="s">
        <v>447</v>
      </c>
    </row>
    <row r="7" spans="1:7" ht="20.149999999999999" customHeight="1">
      <c r="A7" s="2"/>
      <c r="B7" s="135">
        <v>4.3800000000000002E-3</v>
      </c>
      <c r="C7" s="136" t="s">
        <v>596</v>
      </c>
      <c r="D7" s="137" t="s">
        <v>597</v>
      </c>
      <c r="E7" s="105" t="s">
        <v>603</v>
      </c>
      <c r="F7" s="2" t="s">
        <v>447</v>
      </c>
      <c r="G7" s="8" t="s">
        <v>598</v>
      </c>
    </row>
    <row r="8" spans="1:7" ht="20.149999999999999" customHeight="1">
      <c r="A8" s="2"/>
      <c r="B8" s="2"/>
      <c r="C8" s="2"/>
      <c r="D8" s="2"/>
      <c r="E8" s="2"/>
      <c r="F8" s="2"/>
      <c r="G8" s="8" t="s">
        <v>602</v>
      </c>
    </row>
    <row r="9" spans="1:7" ht="20.149999999999999" customHeight="1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G8"/>
  <sheetViews>
    <sheetView workbookViewId="0">
      <selection activeCell="D2" sqref="D2"/>
    </sheetView>
  </sheetViews>
  <sheetFormatPr defaultColWidth="8.90625" defaultRowHeight="15.5"/>
  <cols>
    <col min="1" max="1" width="8.90625" style="1"/>
    <col min="2" max="2" width="13.453125" style="1" customWidth="1"/>
    <col min="3" max="3" width="12.90625" style="1" customWidth="1"/>
    <col min="4" max="4" width="59.36328125" style="1" customWidth="1"/>
    <col min="5" max="5" width="46.08984375" style="1" customWidth="1"/>
    <col min="6" max="6" width="15.453125" style="1" customWidth="1"/>
    <col min="7" max="16384" width="8.90625" style="1"/>
  </cols>
  <sheetData>
    <row r="1" spans="1:7" ht="20.149999999999999" customHeight="1">
      <c r="A1" s="2" t="s">
        <v>425</v>
      </c>
      <c r="B1" s="39" t="s">
        <v>4</v>
      </c>
      <c r="C1" s="39" t="s">
        <v>5</v>
      </c>
      <c r="D1" s="2" t="s">
        <v>444</v>
      </c>
      <c r="E1" s="3" t="s">
        <v>426</v>
      </c>
      <c r="F1" s="39" t="s">
        <v>8</v>
      </c>
    </row>
    <row r="2" spans="1:7" ht="30" customHeight="1">
      <c r="A2" s="2"/>
      <c r="B2" s="2">
        <v>0.63800000000000001</v>
      </c>
      <c r="C2" s="2" t="s">
        <v>12</v>
      </c>
      <c r="D2" s="38" t="s">
        <v>454</v>
      </c>
      <c r="E2" s="42" t="s">
        <v>455</v>
      </c>
      <c r="F2" s="2" t="s">
        <v>15</v>
      </c>
      <c r="G2" s="1" t="s">
        <v>456</v>
      </c>
    </row>
    <row r="3" spans="1:7" ht="30" customHeight="1">
      <c r="A3" s="2"/>
      <c r="B3" s="2">
        <v>0.64900000000000002</v>
      </c>
      <c r="C3" s="2" t="s">
        <v>12</v>
      </c>
      <c r="D3" s="38" t="s">
        <v>457</v>
      </c>
      <c r="E3" s="2" t="s">
        <v>458</v>
      </c>
      <c r="F3" s="2" t="s">
        <v>15</v>
      </c>
    </row>
    <row r="4" spans="1:7" ht="30" customHeight="1">
      <c r="A4" s="2"/>
      <c r="B4" s="2">
        <v>4.41E-2</v>
      </c>
      <c r="C4" s="2" t="s">
        <v>12</v>
      </c>
      <c r="D4" s="38" t="s">
        <v>459</v>
      </c>
      <c r="E4" s="42" t="s">
        <v>460</v>
      </c>
      <c r="F4" s="2" t="s">
        <v>15</v>
      </c>
    </row>
    <row r="5" spans="1:7" ht="30" customHeight="1">
      <c r="A5" s="2"/>
      <c r="B5" s="2">
        <v>0.57199999999999995</v>
      </c>
      <c r="C5" s="2" t="s">
        <v>12</v>
      </c>
      <c r="D5" s="38" t="s">
        <v>461</v>
      </c>
      <c r="E5" s="42" t="s">
        <v>462</v>
      </c>
      <c r="F5" s="2" t="s">
        <v>15</v>
      </c>
    </row>
    <row r="6" spans="1:7" ht="30" customHeight="1">
      <c r="A6" s="2"/>
      <c r="B6" s="2">
        <v>5.2299999999999999E-2</v>
      </c>
      <c r="C6" s="2" t="s">
        <v>12</v>
      </c>
      <c r="D6" s="38" t="s">
        <v>463</v>
      </c>
      <c r="E6" s="42" t="s">
        <v>464</v>
      </c>
      <c r="F6" s="2" t="s">
        <v>15</v>
      </c>
    </row>
    <row r="7" spans="1:7" ht="30" customHeight="1">
      <c r="A7" s="2"/>
      <c r="B7" s="2">
        <v>0.90400000000000003</v>
      </c>
      <c r="C7" s="2" t="s">
        <v>12</v>
      </c>
      <c r="D7" s="38" t="s">
        <v>465</v>
      </c>
      <c r="E7" s="42" t="s">
        <v>455</v>
      </c>
      <c r="F7" s="2" t="s">
        <v>15</v>
      </c>
    </row>
    <row r="8" spans="1:7">
      <c r="B8" s="140">
        <v>10.4</v>
      </c>
      <c r="C8" s="138" t="s">
        <v>599</v>
      </c>
      <c r="D8" s="139" t="s">
        <v>600</v>
      </c>
      <c r="E8" s="8" t="s">
        <v>601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2"/>
  <sheetViews>
    <sheetView topLeftCell="A10" zoomScale="70" zoomScaleNormal="70" workbookViewId="0">
      <selection activeCell="E33" sqref="E33"/>
    </sheetView>
  </sheetViews>
  <sheetFormatPr defaultColWidth="8.90625" defaultRowHeight="15.5"/>
  <cols>
    <col min="1" max="1" width="8.90625" style="5"/>
    <col min="2" max="2" width="17.08984375" style="5" customWidth="1"/>
    <col min="3" max="3" width="20" style="5" customWidth="1"/>
    <col min="4" max="4" width="90.08984375" style="11" customWidth="1"/>
    <col min="5" max="5" width="19.08984375" style="5" customWidth="1"/>
    <col min="6" max="16384" width="8.90625" style="5"/>
  </cols>
  <sheetData>
    <row r="1" spans="1:6" ht="17">
      <c r="A1" s="3" t="s">
        <v>425</v>
      </c>
      <c r="B1" s="3" t="s">
        <v>466</v>
      </c>
      <c r="C1" s="3" t="s">
        <v>467</v>
      </c>
      <c r="D1" s="4" t="s">
        <v>444</v>
      </c>
      <c r="E1" s="3" t="s">
        <v>467</v>
      </c>
      <c r="F1" s="10" t="s">
        <v>468</v>
      </c>
    </row>
    <row r="2" spans="1:6">
      <c r="A2" s="3" t="s">
        <v>469</v>
      </c>
      <c r="B2" s="3">
        <v>15.6</v>
      </c>
      <c r="C2" s="3" t="s">
        <v>12</v>
      </c>
      <c r="D2" s="4" t="s">
        <v>470</v>
      </c>
      <c r="E2" s="3" t="s">
        <v>15</v>
      </c>
    </row>
    <row r="3" spans="1:6">
      <c r="A3" s="3" t="s">
        <v>471</v>
      </c>
      <c r="B3" s="3">
        <v>6.12</v>
      </c>
      <c r="C3" s="3" t="s">
        <v>12</v>
      </c>
      <c r="D3" s="4" t="s">
        <v>472</v>
      </c>
      <c r="E3" s="3" t="s">
        <v>15</v>
      </c>
    </row>
    <row r="4" spans="1:6">
      <c r="A4" s="3" t="s">
        <v>473</v>
      </c>
      <c r="B4" s="3">
        <v>6.07</v>
      </c>
      <c r="C4" s="3" t="s">
        <v>12</v>
      </c>
      <c r="D4" s="4" t="s">
        <v>474</v>
      </c>
      <c r="E4" s="3" t="s">
        <v>15</v>
      </c>
    </row>
    <row r="5" spans="1:6">
      <c r="A5" s="3" t="s">
        <v>475</v>
      </c>
      <c r="B5" s="3">
        <v>4.66</v>
      </c>
      <c r="C5" s="3" t="s">
        <v>12</v>
      </c>
      <c r="D5" s="4" t="s">
        <v>476</v>
      </c>
      <c r="E5" s="3" t="s">
        <v>15</v>
      </c>
    </row>
    <row r="6" spans="1:6">
      <c r="A6" s="3" t="s">
        <v>477</v>
      </c>
      <c r="B6" s="3">
        <v>6.3</v>
      </c>
      <c r="C6" s="3" t="s">
        <v>12</v>
      </c>
      <c r="D6" s="4" t="s">
        <v>478</v>
      </c>
      <c r="E6" s="3" t="s">
        <v>15</v>
      </c>
    </row>
    <row r="7" spans="1:6">
      <c r="A7" s="3" t="s">
        <v>479</v>
      </c>
      <c r="B7" s="3">
        <v>6.23</v>
      </c>
      <c r="C7" s="3" t="s">
        <v>12</v>
      </c>
      <c r="D7" s="4" t="s">
        <v>480</v>
      </c>
      <c r="E7" s="3" t="s">
        <v>15</v>
      </c>
    </row>
    <row r="8" spans="1:6">
      <c r="A8" s="3" t="s">
        <v>481</v>
      </c>
      <c r="B8" s="3">
        <v>6.65</v>
      </c>
      <c r="C8" s="3" t="s">
        <v>12</v>
      </c>
      <c r="D8" s="4" t="s">
        <v>173</v>
      </c>
      <c r="E8" s="3" t="s">
        <v>15</v>
      </c>
      <c r="F8" s="10" t="s">
        <v>87</v>
      </c>
    </row>
    <row r="9" spans="1:6">
      <c r="A9" s="3" t="s">
        <v>482</v>
      </c>
      <c r="B9" s="3">
        <v>16.2</v>
      </c>
      <c r="C9" s="3" t="s">
        <v>12</v>
      </c>
      <c r="D9" s="4" t="s">
        <v>483</v>
      </c>
      <c r="E9" s="3" t="s">
        <v>15</v>
      </c>
      <c r="F9" s="10"/>
    </row>
    <row r="10" spans="1:6">
      <c r="A10" s="3" t="s">
        <v>484</v>
      </c>
      <c r="B10" s="3">
        <v>16.600000000000001</v>
      </c>
      <c r="C10" s="3" t="s">
        <v>12</v>
      </c>
      <c r="D10" s="4" t="s">
        <v>485</v>
      </c>
      <c r="E10" s="3" t="s">
        <v>15</v>
      </c>
    </row>
    <row r="11" spans="1:6">
      <c r="A11" s="3" t="s">
        <v>486</v>
      </c>
      <c r="B11" s="3">
        <v>16.100000000000001</v>
      </c>
      <c r="C11" s="3" t="s">
        <v>12</v>
      </c>
      <c r="D11" s="4" t="s">
        <v>487</v>
      </c>
      <c r="E11" s="3" t="s">
        <v>15</v>
      </c>
    </row>
    <row r="12" spans="1:6">
      <c r="A12" s="3" t="s">
        <v>488</v>
      </c>
      <c r="B12" s="3">
        <v>71.5</v>
      </c>
      <c r="C12" s="3" t="s">
        <v>12</v>
      </c>
      <c r="D12" s="4" t="s">
        <v>489</v>
      </c>
      <c r="E12" s="3" t="s">
        <v>15</v>
      </c>
    </row>
    <row r="13" spans="1:6">
      <c r="A13" s="3" t="s">
        <v>490</v>
      </c>
      <c r="B13" s="3">
        <v>20.100000000000001</v>
      </c>
      <c r="C13" s="3" t="s">
        <v>12</v>
      </c>
      <c r="D13" s="4" t="s">
        <v>491</v>
      </c>
      <c r="E13" s="3" t="s">
        <v>15</v>
      </c>
    </row>
    <row r="14" spans="1:6">
      <c r="A14" s="3" t="s">
        <v>492</v>
      </c>
      <c r="B14" s="3">
        <v>3.5</v>
      </c>
      <c r="C14" s="3" t="s">
        <v>12</v>
      </c>
      <c r="D14" s="4" t="s">
        <v>493</v>
      </c>
      <c r="E14" s="3" t="s">
        <v>15</v>
      </c>
    </row>
    <row r="15" spans="1:6">
      <c r="A15" s="3" t="s">
        <v>494</v>
      </c>
      <c r="B15" s="3">
        <v>17.3</v>
      </c>
      <c r="C15" s="3" t="s">
        <v>12</v>
      </c>
      <c r="D15" s="4" t="s">
        <v>495</v>
      </c>
      <c r="E15" s="3" t="s">
        <v>15</v>
      </c>
    </row>
    <row r="16" spans="1:6">
      <c r="A16" s="3" t="s">
        <v>496</v>
      </c>
      <c r="B16" s="3">
        <v>17.5</v>
      </c>
      <c r="C16" s="3" t="s">
        <v>12</v>
      </c>
      <c r="D16" s="4" t="s">
        <v>497</v>
      </c>
      <c r="E16" s="3" t="s">
        <v>15</v>
      </c>
    </row>
    <row r="17" spans="1:5">
      <c r="A17" s="3" t="s">
        <v>498</v>
      </c>
      <c r="B17" s="3">
        <v>17.100000000000001</v>
      </c>
      <c r="C17" s="3" t="s">
        <v>12</v>
      </c>
      <c r="D17" s="4" t="s">
        <v>499</v>
      </c>
      <c r="E17" s="3" t="s">
        <v>15</v>
      </c>
    </row>
    <row r="18" spans="1:5">
      <c r="A18" s="3" t="s">
        <v>500</v>
      </c>
      <c r="B18" s="3">
        <v>6.71</v>
      </c>
      <c r="C18" s="3" t="s">
        <v>12</v>
      </c>
      <c r="D18" s="4" t="s">
        <v>501</v>
      </c>
      <c r="E18" s="3" t="s">
        <v>15</v>
      </c>
    </row>
    <row r="19" spans="1:5">
      <c r="A19" s="3" t="s">
        <v>502</v>
      </c>
      <c r="B19" s="3">
        <v>6.74</v>
      </c>
      <c r="C19" s="3" t="s">
        <v>12</v>
      </c>
      <c r="D19" s="4" t="s">
        <v>503</v>
      </c>
      <c r="E19" s="3" t="s">
        <v>15</v>
      </c>
    </row>
    <row r="20" spans="1:5">
      <c r="A20" s="3" t="s">
        <v>504</v>
      </c>
      <c r="B20" s="3">
        <v>26.7</v>
      </c>
      <c r="C20" s="3" t="s">
        <v>12</v>
      </c>
      <c r="D20" s="4" t="s">
        <v>505</v>
      </c>
      <c r="E20" s="3" t="s">
        <v>15</v>
      </c>
    </row>
    <row r="21" spans="1:5">
      <c r="A21" s="3" t="s">
        <v>506</v>
      </c>
      <c r="B21" s="3">
        <v>9.4700000000000006</v>
      </c>
      <c r="C21" s="3" t="s">
        <v>12</v>
      </c>
      <c r="D21" s="4" t="s">
        <v>507</v>
      </c>
      <c r="E21" s="3" t="s">
        <v>15</v>
      </c>
    </row>
    <row r="22" spans="1:5">
      <c r="A22" s="3" t="s">
        <v>508</v>
      </c>
      <c r="B22" s="3">
        <v>29.3</v>
      </c>
      <c r="C22" s="3" t="s">
        <v>12</v>
      </c>
      <c r="D22" s="4" t="s">
        <v>509</v>
      </c>
      <c r="E22" s="3" t="s">
        <v>15</v>
      </c>
    </row>
    <row r="23" spans="1:5">
      <c r="A23" s="3" t="s">
        <v>510</v>
      </c>
      <c r="B23" s="3">
        <v>26.1</v>
      </c>
      <c r="C23" s="3" t="s">
        <v>12</v>
      </c>
      <c r="D23" s="4" t="s">
        <v>511</v>
      </c>
      <c r="E23" s="3" t="s">
        <v>15</v>
      </c>
    </row>
    <row r="24" spans="1:5">
      <c r="A24" s="3" t="s">
        <v>512</v>
      </c>
      <c r="B24" s="3">
        <v>29.1</v>
      </c>
      <c r="C24" s="3" t="s">
        <v>12</v>
      </c>
      <c r="D24" s="4" t="s">
        <v>513</v>
      </c>
      <c r="E24" s="3" t="s">
        <v>15</v>
      </c>
    </row>
    <row r="25" spans="1:5">
      <c r="A25" s="3" t="s">
        <v>514</v>
      </c>
      <c r="B25" s="3">
        <v>26</v>
      </c>
      <c r="C25" s="3" t="s">
        <v>12</v>
      </c>
      <c r="D25" s="4" t="s">
        <v>515</v>
      </c>
      <c r="E25" s="3" t="s">
        <v>15</v>
      </c>
    </row>
    <row r="26" spans="1:5">
      <c r="A26" s="3" t="s">
        <v>516</v>
      </c>
      <c r="B26" s="3">
        <v>29.2</v>
      </c>
      <c r="C26" s="3" t="s">
        <v>12</v>
      </c>
      <c r="D26" s="4" t="s">
        <v>517</v>
      </c>
      <c r="E26" s="3" t="s">
        <v>15</v>
      </c>
    </row>
    <row r="27" spans="1:5">
      <c r="A27" s="3" t="s">
        <v>518</v>
      </c>
      <c r="B27" s="3">
        <v>26.1</v>
      </c>
      <c r="C27" s="3" t="s">
        <v>12</v>
      </c>
      <c r="D27" s="4" t="s">
        <v>519</v>
      </c>
      <c r="E27" s="3" t="s">
        <v>15</v>
      </c>
    </row>
    <row r="28" spans="1:5">
      <c r="A28" s="3" t="s">
        <v>520</v>
      </c>
      <c r="B28" s="3">
        <v>10</v>
      </c>
      <c r="C28" s="3" t="s">
        <v>12</v>
      </c>
      <c r="D28" s="4" t="s">
        <v>521</v>
      </c>
      <c r="E28" s="3" t="s">
        <v>15</v>
      </c>
    </row>
    <row r="29" spans="1:5">
      <c r="A29" s="3" t="s">
        <v>522</v>
      </c>
      <c r="B29" s="3">
        <v>4.67</v>
      </c>
      <c r="C29" s="3" t="s">
        <v>12</v>
      </c>
      <c r="D29" s="4" t="s">
        <v>523</v>
      </c>
      <c r="E29" s="3" t="s">
        <v>15</v>
      </c>
    </row>
    <row r="30" spans="1:5">
      <c r="A30" s="3" t="s">
        <v>524</v>
      </c>
      <c r="B30" s="3">
        <v>18.899999999999999</v>
      </c>
      <c r="C30" s="3" t="s">
        <v>12</v>
      </c>
      <c r="D30" s="4" t="s">
        <v>525</v>
      </c>
      <c r="E30" s="3" t="s">
        <v>15</v>
      </c>
    </row>
    <row r="31" spans="1:5">
      <c r="A31" s="3" t="s">
        <v>526</v>
      </c>
      <c r="B31" s="3">
        <v>45.4</v>
      </c>
      <c r="C31" s="3" t="s">
        <v>12</v>
      </c>
      <c r="D31" s="4" t="s">
        <v>527</v>
      </c>
      <c r="E31" s="3" t="s">
        <v>15</v>
      </c>
    </row>
    <row r="32" spans="1:5">
      <c r="A32" s="3" t="s">
        <v>528</v>
      </c>
      <c r="B32" s="3">
        <v>68.599999999999994</v>
      </c>
      <c r="C32" s="3" t="s">
        <v>12</v>
      </c>
      <c r="D32" s="4" t="s">
        <v>529</v>
      </c>
      <c r="E32" s="3" t="s">
        <v>15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908d89-7231-4294-a486-816a03fd466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B10A22E267C944A4B562A9A87BBA4C" ma:contentTypeVersion="18" ma:contentTypeDescription="Create a new document." ma:contentTypeScope="" ma:versionID="2b1382f8712f5d87b7a5cef1a6d11968">
  <xsd:schema xmlns:xsd="http://www.w3.org/2001/XMLSchema" xmlns:xs="http://www.w3.org/2001/XMLSchema" xmlns:p="http://schemas.microsoft.com/office/2006/metadata/properties" xmlns:ns3="19908d89-7231-4294-a486-816a03fd4668" xmlns:ns4="358e74d4-fd77-457a-b453-f54c9b5c6b96" targetNamespace="http://schemas.microsoft.com/office/2006/metadata/properties" ma:root="true" ma:fieldsID="2423547602544c8fca37ba42f31321de" ns3:_="" ns4:_="">
    <xsd:import namespace="19908d89-7231-4294-a486-816a03fd4668"/>
    <xsd:import namespace="358e74d4-fd77-457a-b453-f54c9b5c6b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08d89-7231-4294-a486-816a03fd4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e74d4-fd77-457a-b453-f54c9b5c6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EC504C-CF9D-4DFA-8B93-C5A2F30322FD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9908d89-7231-4294-a486-816a03fd4668"/>
    <ds:schemaRef ds:uri="http://purl.org/dc/terms/"/>
    <ds:schemaRef ds:uri="http://schemas.openxmlformats.org/package/2006/metadata/core-properties"/>
    <ds:schemaRef ds:uri="358e74d4-fd77-457a-b453-f54c9b5c6b96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E9E1A94-44D0-4A81-AA4C-230CFB2F20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908d89-7231-4294-a486-816a03fd4668"/>
    <ds:schemaRef ds:uri="358e74d4-fd77-457a-b453-f54c9b5c6b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B31284-011D-4F0D-8C62-165AF90076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使用說明</vt:lpstr>
      <vt:lpstr>材料_EE part</vt:lpstr>
      <vt:lpstr>biopolymer</vt:lpstr>
      <vt:lpstr>recycling</vt:lpstr>
      <vt:lpstr>材料_ME part</vt:lpstr>
      <vt:lpstr>thermoplast</vt:lpstr>
      <vt:lpstr>Transportation (運輸)</vt:lpstr>
      <vt:lpstr>Electricity (電力)</vt:lpstr>
      <vt:lpstr>Waste (廢棄物)</vt:lpstr>
      <vt:lpstr>battery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POLLY.HU 胡淑媛</cp:lastModifiedBy>
  <cp:revision/>
  <dcterms:created xsi:type="dcterms:W3CDTF">2022-06-05T16:45:20Z</dcterms:created>
  <dcterms:modified xsi:type="dcterms:W3CDTF">2024-05-22T01:20:19Z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0x01010017B10A22E267C944A4B562A9A87BBA4C</vt:lpwstr>
  </property>
</Properties>
</file>