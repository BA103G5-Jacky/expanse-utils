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xr:revisionPtr revIDLastSave="1" documentId="11_461D2D7789B897C762FB67B4F370EF8BE7D9C9B0" xr6:coauthVersionLast="47" xr6:coauthVersionMax="47" xr10:uidLastSave="{D22929A0-7265-4910-AFEC-B72993967CFD}"/>
  <bookViews>
    <workbookView xWindow="0" yWindow="0" windowWidth="0" windowHeight="0" xr2:uid="{00000000-000D-0000-FFFF-FFFF00000000}"/>
  </bookViews>
  <sheets>
    <sheet name="Emission Inventory Results" sheetId="1" r:id="rId1"/>
    <sheet name="Emission Inventory Scope 1" sheetId="2" r:id="rId2"/>
    <sheet name="Emission Inventory Scope 2-6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" i="3" l="1"/>
  <c r="V8" i="3"/>
  <c r="V7" i="3"/>
  <c r="V6" i="3"/>
  <c r="V5" i="3"/>
  <c r="V4" i="3"/>
  <c r="W4" i="3" s="1"/>
  <c r="D2" i="3"/>
  <c r="AI17" i="2"/>
  <c r="AH17" i="2"/>
  <c r="AG17" i="2"/>
  <c r="AF17" i="2"/>
  <c r="AE17" i="2"/>
  <c r="AD17" i="2"/>
  <c r="AC17" i="2"/>
  <c r="AJ17" i="2" s="1"/>
  <c r="AI16" i="2"/>
  <c r="AH16" i="2"/>
  <c r="AG16" i="2"/>
  <c r="AF16" i="2"/>
  <c r="AE16" i="2"/>
  <c r="AD16" i="2"/>
  <c r="AC16" i="2"/>
  <c r="AJ16" i="2" s="1"/>
  <c r="AI15" i="2"/>
  <c r="AH15" i="2"/>
  <c r="AG15" i="2"/>
  <c r="AF15" i="2"/>
  <c r="AE15" i="2"/>
  <c r="AD15" i="2"/>
  <c r="AC15" i="2"/>
  <c r="AJ15" i="2" s="1"/>
  <c r="AI14" i="2"/>
  <c r="AH14" i="2"/>
  <c r="AG14" i="2"/>
  <c r="AF14" i="2"/>
  <c r="AE14" i="2"/>
  <c r="AD14" i="2"/>
  <c r="AC14" i="2"/>
  <c r="AJ14" i="2" s="1"/>
  <c r="AI13" i="2"/>
  <c r="AH13" i="2"/>
  <c r="AG13" i="2"/>
  <c r="AF13" i="2"/>
  <c r="AE13" i="2"/>
  <c r="AD13" i="2"/>
  <c r="AC13" i="2"/>
  <c r="AJ13" i="2" s="1"/>
  <c r="AI12" i="2"/>
  <c r="AH12" i="2"/>
  <c r="AG12" i="2"/>
  <c r="AF12" i="2"/>
  <c r="AE12" i="2"/>
  <c r="AD12" i="2"/>
  <c r="AC12" i="2"/>
  <c r="AJ12" i="2" s="1"/>
  <c r="AI11" i="2"/>
  <c r="AH11" i="2"/>
  <c r="AG11" i="2"/>
  <c r="AF11" i="2"/>
  <c r="AE11" i="2"/>
  <c r="AD11" i="2"/>
  <c r="AC11" i="2"/>
  <c r="AJ11" i="2" s="1"/>
  <c r="AI10" i="2"/>
  <c r="AH10" i="2"/>
  <c r="AG10" i="2"/>
  <c r="AF10" i="2"/>
  <c r="AE10" i="2"/>
  <c r="AD10" i="2"/>
  <c r="AC10" i="2"/>
  <c r="AJ10" i="2" s="1"/>
  <c r="AI7" i="2"/>
  <c r="AH7" i="2"/>
  <c r="AG7" i="2"/>
  <c r="AF7" i="2"/>
  <c r="AE7" i="2"/>
  <c r="AD7" i="2"/>
  <c r="AC7" i="2"/>
  <c r="AJ7" i="2" s="1"/>
  <c r="AI6" i="2"/>
  <c r="AH6" i="2"/>
  <c r="AG6" i="2"/>
  <c r="AF6" i="2"/>
  <c r="AE6" i="2"/>
  <c r="AD6" i="2"/>
  <c r="AC6" i="2"/>
  <c r="AJ6" i="2" s="1"/>
  <c r="D3" i="2"/>
  <c r="J2" i="2"/>
  <c r="AL6" i="2" l="1"/>
  <c r="AK6" i="2"/>
  <c r="AL7" i="2"/>
  <c r="AK7" i="2"/>
  <c r="AL10" i="2"/>
  <c r="AK10" i="2"/>
  <c r="AL11" i="2"/>
  <c r="AK11" i="2"/>
  <c r="AL12" i="2"/>
  <c r="AK12" i="2"/>
  <c r="AL13" i="2"/>
  <c r="AK13" i="2"/>
  <c r="AL14" i="2"/>
  <c r="AK14" i="2"/>
  <c r="AL15" i="2"/>
  <c r="AK15" i="2"/>
  <c r="AL16" i="2"/>
  <c r="AK16" i="2"/>
  <c r="AL17" i="2"/>
  <c r="AK17" i="2"/>
</calcChain>
</file>

<file path=xl/sharedStrings.xml><?xml version="1.0" encoding="utf-8"?>
<sst xmlns="http://schemas.openxmlformats.org/spreadsheetml/2006/main" count="992" uniqueCount="198">
  <si>
    <t>台達組織碳盤查平台-盤查清冊</t>
  </si>
  <si>
    <t/>
  </si>
  <si>
    <t>盤查與驗證概況</t>
  </si>
  <si>
    <t>盤查內容說明</t>
  </si>
  <si>
    <t>2023GHG 排放 (tCO2e)</t>
  </si>
  <si>
    <t>定義</t>
  </si>
  <si>
    <t>排放源</t>
  </si>
  <si>
    <t>計算方法</t>
  </si>
  <si>
    <t>活動數據來源</t>
  </si>
  <si>
    <t>排放係數來源</t>
  </si>
  <si>
    <t>數據保管單位</t>
  </si>
  <si>
    <t>類別1：直接GHG排放與移除</t>
  </si>
  <si>
    <t>固定燃燒直接排放</t>
  </si>
  <si>
    <t>係任何類型燃料(化石燃料或生質燃料)在固定式設備(例:加熱器、燃氣渦輪、鍋爐)中燃燒之結果，可藉以產生熱、機械功及蒸汽。</t>
  </si>
  <si>
    <t>[緊急發電機 emergency generator][柴油 Diesel Oil]</t>
  </si>
  <si>
    <t>沒有</t>
  </si>
  <si>
    <t>柴油 Diesel Oil</t>
  </si>
  <si>
    <t>[餐飲/廚房設備 Catering/Kitchen Equipment][天然氣 Natural Gas]</t>
  </si>
  <si>
    <t>天然氣 Natural Gas</t>
  </si>
  <si>
    <t>移動燃燒直接排放</t>
  </si>
  <si>
    <t>係燃料在運輸設備(例:機動車輛、貨車、船舶、飛機、機動堆高機)內燃燒之結果</t>
  </si>
  <si>
    <t>工業製程之直接製程排放及移除</t>
  </si>
  <si>
    <t>產業過程之直接過程排放與移除。</t>
  </si>
  <si>
    <t>人為系統中溫室氣體釋放產生的直接逸散排放</t>
  </si>
  <si>
    <t>由人為系統所釋放的溫室氣體產生的直接逸散性排放。</t>
  </si>
  <si>
    <t>[住宅及商業建築冷氣機 Residential and commercial building air conditioners][分離式冷氣 Separate air conditioner][R-22]</t>
  </si>
  <si>
    <t>[住宅及商業建築冷氣機 Residential and commercial building air conditioners][分離式冷氣 Separate air conditioner][R-32]</t>
  </si>
  <si>
    <t>[住宅及商業建築冷氣機 Residential and commercial building air conditioners][分離式冷氣 Separate air conditioner][R-410A]</t>
  </si>
  <si>
    <t>[冰水機 Chiller][R-123]</t>
  </si>
  <si>
    <t>[冰水機 Chiller][R-134a]</t>
  </si>
  <si>
    <t>化糞池 Septic tank</t>
  </si>
  <si>
    <t>[工業冷凍、冷藏裝備Industrial freezing and refrigeration equipment][R-404A]</t>
  </si>
  <si>
    <t>[工業冷凍、冷藏裝備Industrial freezing and refrigeration equipment][R-417A]</t>
  </si>
  <si>
    <t>土地利用變更和森林 (LULUCF) 的直接排放和移除</t>
  </si>
  <si>
    <t>涵蓋由 活生質體至土壤內有機物質之所有溫室氣體。依據IPCC，可依據 6 個主要的土地使用類別(林地、農地、牧草地、濕地、居留地、其他土地)，及數個碳儲存庫(地上活生質、地下活生質、 枯木、落葉、土壤有機物質)評估其排放量。</t>
  </si>
  <si>
    <t>類別2：輸入能源之間接GHG排放</t>
  </si>
  <si>
    <t>輸入電力的間接排放</t>
  </si>
  <si>
    <t>包含有關組織生產與消耗輸入電力之溫室氣體排放。</t>
  </si>
  <si>
    <t>[Off-site 廠外 &amp; Off-Grid 離網][Unbundled Energy Attribute Certificates 非搭售型再生電力憑證][Biomass including biogas, etc. 生質能]</t>
  </si>
  <si>
    <t>[Off-site 廠外 &amp; On-Grid 連網][Specified Renewable Electricity Purchase through Power Procurement Agreement (PPA) 再生電力直購(如PPA)][Hydro (&lt;25 MW) 小水力]</t>
  </si>
  <si>
    <t>[Off-site 廠外 &amp; On-Grid 連網][Specified Renewable Electricity Purchase through Power Procurement Agreement (PPA) 再生電力直購(如PPA)][Onshore wind 陸域風力]</t>
  </si>
  <si>
    <t>[Off-site 廠外 &amp; On-Grid 連網][Specified Renewable Electricity Purchase through Power Procurement Agreement (PPA) 再生電力直購(如PPA)][Solar PV 太陽能模組]</t>
  </si>
  <si>
    <t>[On-site 廠內 &amp; On-Grid 連網][Self-generated Renewable Electricity 自發再生電力][Solar PV 太陽能模組]</t>
  </si>
  <si>
    <t>外購灰電</t>
  </si>
  <si>
    <t>輸入能源的間接排放</t>
  </si>
  <si>
    <t>包含有關組織透過實體聯網生產所消耗能源(蒸汽、熱能、冷卻及壓縮空氣)之溫室氣體排放，電力之排放除外。</t>
  </si>
  <si>
    <t>類別3：運輸造成之間接排放</t>
  </si>
  <si>
    <t>上游運輸和貨物配送產生的排放</t>
  </si>
  <si>
    <t>1階供應商至營運據點的產品運輸及配送。</t>
  </si>
  <si>
    <t>下游運輸和貨物配送產生的排放</t>
  </si>
  <si>
    <t>銷售產品從公司到終端消費者的運輸及配送。</t>
  </si>
  <si>
    <t>員工通勤產生的排放</t>
  </si>
  <si>
    <t>員工從居住點到工作點的運輸。</t>
  </si>
  <si>
    <t>客戶和訪客運輸產生的排放</t>
  </si>
  <si>
    <t>包括客戶與訪客前往報告公司的工廠，與旅行相關連的排放。</t>
  </si>
  <si>
    <t>商務旅行產生的排放</t>
  </si>
  <si>
    <t>員工商務相關的運輸。</t>
  </si>
  <si>
    <t>類別4：組織使用產品造成之間接排放</t>
  </si>
  <si>
    <t>產品使用階段的排放或移除</t>
  </si>
  <si>
    <t>賣出產品的使用</t>
  </si>
  <si>
    <t>資本商品的排放</t>
  </si>
  <si>
    <t>資本貨物的開採、生產及運輸</t>
  </si>
  <si>
    <t>固體和液體廢棄物處理產生的排放</t>
  </si>
  <si>
    <t>非公司擁有的設施廢棄物處置與處理。</t>
  </si>
  <si>
    <t>租賃設備資產使用造成之排放</t>
  </si>
  <si>
    <t>租賃資產(不屬於scope1及scope2)。</t>
  </si>
  <si>
    <t>上述子類別中未描述使用服務而產生的排放</t>
  </si>
  <si>
    <t>如顧問諮詢、清潔服務…等</t>
  </si>
  <si>
    <t>類別5：使用來自組織之產品造成的間接排放</t>
  </si>
  <si>
    <t>源自採購商品的排放</t>
  </si>
  <si>
    <t>產品和服務的開採、生產及運輸。</t>
  </si>
  <si>
    <t>下游租賃資產的排放</t>
  </si>
  <si>
    <t>公司擁有的資產租賃(不屬於scope1及scope2)。</t>
  </si>
  <si>
    <t>產品生命終期階段的排放</t>
  </si>
  <si>
    <t>賣出產品的廢棄物處置與處理。</t>
  </si>
  <si>
    <t>投資產生的排放</t>
  </si>
  <si>
    <t>投資(不屬於scope1及scope2)。</t>
  </si>
  <si>
    <t>類別6：其他</t>
  </si>
  <si>
    <t>其他來源之間接溫室氣體排放量</t>
  </si>
  <si>
    <t>如中間產品的製程、特許經銷商…等。</t>
  </si>
  <si>
    <t>合計排放量</t>
  </si>
  <si>
    <t>所在地基準</t>
  </si>
  <si>
    <t>市場基準</t>
  </si>
  <si>
    <t>tCO2e</t>
  </si>
  <si>
    <t>七大溫室氣體
所在地基準</t>
  </si>
  <si>
    <t>CO2</t>
  </si>
  <si>
    <t>CH4</t>
  </si>
  <si>
    <t>N2O</t>
  </si>
  <si>
    <t>HFCs</t>
  </si>
  <si>
    <t>PFCs</t>
  </si>
  <si>
    <t>SF6</t>
  </si>
  <si>
    <t>NF3</t>
  </si>
  <si>
    <t>Sum(t-CO2e)</t>
  </si>
  <si>
    <t>七大溫室氣體
市場基準</t>
  </si>
  <si>
    <t xml:space="preserve">類別1七大溫室氣體
</t>
  </si>
  <si>
    <t>陸運距離參考：Land Transportation(1)Google map：https://www.google.com.tw/maps/(2)百度地圖：https://map.baidu.com/海運距離參考：Sea Transportation(1)http://ports.com/sea-route/空運距離參考：Air Transportation(1)https://www.icao.int/environmental-protection/Carbonoffset/Pages/default.aspx</t>
  </si>
  <si>
    <t>報告邊界</t>
  </si>
  <si>
    <t>總碳排放量</t>
  </si>
  <si>
    <t>噸CO2e</t>
  </si>
  <si>
    <t>直接溫室氣體排放</t>
  </si>
  <si>
    <t>類型</t>
  </si>
  <si>
    <t>鑑別(有/無)</t>
  </si>
  <si>
    <t>原燃物料或產品</t>
  </si>
  <si>
    <t>活動數據</t>
  </si>
  <si>
    <t>活動數據單位</t>
  </si>
  <si>
    <t>活動數據佐證</t>
  </si>
  <si>
    <t>排放係數</t>
  </si>
  <si>
    <t>GWP</t>
  </si>
  <si>
    <t>溫室氣體排放量</t>
  </si>
  <si>
    <t>合計t-CO2e</t>
  </si>
  <si>
    <t>類別1、2佔比</t>
  </si>
  <si>
    <t>總碳排放量佔比</t>
  </si>
  <si>
    <t>原活動數據</t>
  </si>
  <si>
    <t>原活動數據單位</t>
  </si>
  <si>
    <t>單位轉換比例</t>
  </si>
  <si>
    <t>逸散方式</t>
  </si>
  <si>
    <t>逸散率(%)</t>
  </si>
  <si>
    <t>類別1:</t>
  </si>
  <si>
    <t>直接溫室氣體排放和移除(1)</t>
  </si>
  <si>
    <t>1.1</t>
  </si>
  <si>
    <t>有</t>
  </si>
  <si>
    <t>0.0000</t>
  </si>
  <si>
    <t>0</t>
  </si>
  <si>
    <t>1.0</t>
  </si>
  <si>
    <t>27.9</t>
  </si>
  <si>
    <t>273.0</t>
  </si>
  <si>
    <t>25200.0</t>
  </si>
  <si>
    <t>17400.0</t>
  </si>
  <si>
    <t>1</t>
  </si>
  <si>
    <t>1.2</t>
  </si>
  <si>
    <t>1.3</t>
  </si>
  <si>
    <t>1.4</t>
  </si>
  <si>
    <t>0.3245</t>
  </si>
  <si>
    <t>kg</t>
  </si>
  <si>
    <t>1960.0</t>
  </si>
  <si>
    <t>冷媒逸散</t>
  </si>
  <si>
    <t>逸散率法</t>
  </si>
  <si>
    <t>0.0550000000</t>
  </si>
  <si>
    <t>0.0825</t>
  </si>
  <si>
    <t>771.0</t>
  </si>
  <si>
    <t>2.2765</t>
  </si>
  <si>
    <t>2255.5</t>
  </si>
  <si>
    <t>34.3145</t>
  </si>
  <si>
    <t>0.0</t>
  </si>
  <si>
    <t>0.0850000000</t>
  </si>
  <si>
    <t>87.5500</t>
  </si>
  <si>
    <t>1530.0</t>
  </si>
  <si>
    <t>其他逸散</t>
  </si>
  <si>
    <t>無</t>
  </si>
  <si>
    <t>2.8800</t>
  </si>
  <si>
    <t>4728.0</t>
  </si>
  <si>
    <t>0.1600000000</t>
  </si>
  <si>
    <t>3.8400</t>
  </si>
  <si>
    <t>1.5</t>
  </si>
  <si>
    <t>參數1</t>
  </si>
  <si>
    <t>參數2</t>
  </si>
  <si>
    <t>參數3</t>
  </si>
  <si>
    <t>參數4</t>
  </si>
  <si>
    <t>參數5</t>
  </si>
  <si>
    <t>間接溫室氣體排放</t>
  </si>
  <si>
    <t>排放源鑑別</t>
  </si>
  <si>
    <t>是否納入盤查</t>
  </si>
  <si>
    <t>資訊取得難易度</t>
  </si>
  <si>
    <t>活動數據準確性</t>
  </si>
  <si>
    <t>數據蒐集及準備時間</t>
  </si>
  <si>
    <t>是否為預期使用者需求必要要求</t>
  </si>
  <si>
    <t>重大性得分</t>
  </si>
  <si>
    <t>重大性鑑別(S/NS)</t>
  </si>
  <si>
    <t>小計t-CO2e</t>
  </si>
  <si>
    <t>類別 2:</t>
  </si>
  <si>
    <t>輸入能源的間接溫室氣體排放</t>
  </si>
  <si>
    <t>2.1</t>
  </si>
  <si>
    <t>2.2</t>
  </si>
  <si>
    <t>否</t>
  </si>
  <si>
    <t>不適用</t>
  </si>
  <si>
    <t>類別 3:</t>
  </si>
  <si>
    <t>運輸產生的間接溫室氣體排放</t>
  </si>
  <si>
    <t>3.1</t>
  </si>
  <si>
    <t>3.2</t>
  </si>
  <si>
    <t>3.3</t>
  </si>
  <si>
    <t>3.4</t>
  </si>
  <si>
    <t>3.5</t>
  </si>
  <si>
    <t>類別 4:</t>
  </si>
  <si>
    <t>組織使用的產品之間接溫室氣體排放</t>
  </si>
  <si>
    <t>4.1</t>
  </si>
  <si>
    <t>4.2</t>
  </si>
  <si>
    <t>4.3</t>
  </si>
  <si>
    <t>4.4</t>
  </si>
  <si>
    <t>4.5</t>
  </si>
  <si>
    <t>類別 5:</t>
  </si>
  <si>
    <t>使用組織的產品所產生之間接溫室氣體排放</t>
  </si>
  <si>
    <t>5.1</t>
  </si>
  <si>
    <t>5.2</t>
  </si>
  <si>
    <t>5.3</t>
  </si>
  <si>
    <t>5.4</t>
  </si>
  <si>
    <t>類別 6:</t>
  </si>
  <si>
    <t>其他</t>
  </si>
  <si>
    <t>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</si>
</sst>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\ 0.00%"/>
    <numFmt numFmtId="166" formatCode="0.0000"/>
  </numFmts>
  <fonts count="10">
    <font>
      <sz val="11"/>
      <color indexed="8"/>
      <name val="Calibri"/>
      <family val="2"/>
      <scheme val="minor"/>
    </font>
    <font>
      <b/>
      <sz val="18"/>
      <name val="微軟正黑體"/>
    </font>
    <font>
      <b/>
      <sz val="10"/>
      <color indexed="9"/>
      <name val="微軟正黑體"/>
    </font>
    <font>
      <sz val="10"/>
      <name val="微軟正黑體"/>
    </font>
    <font>
      <sz val="10"/>
      <color indexed="12"/>
      <name val="微軟正黑體"/>
    </font>
    <font>
      <b/>
      <sz val="10"/>
      <name val="微軟正黑體"/>
    </font>
    <font>
      <b/>
      <sz val="16"/>
      <color indexed="12"/>
      <name val="微軟正黑體"/>
    </font>
    <font>
      <b/>
      <sz val="16"/>
      <name val="微軟正黑體"/>
    </font>
    <font>
      <b/>
      <sz val="12"/>
      <name val="微軟正黑體"/>
    </font>
    <font>
      <sz val="12"/>
      <name val="微軟正黑體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B9EB5F"/>
      </patternFill>
    </fill>
    <fill>
      <patternFill patternType="solid">
        <fgColor rgb="FF64D7D7"/>
      </patternFill>
    </fill>
    <fill>
      <patternFill patternType="solid">
        <fgColor rgb="FF0087DC"/>
        <bgColor indexed="64"/>
      </patternFill>
    </fill>
    <fill>
      <patternFill patternType="none">
        <bgColor indexed="64"/>
      </patternFill>
    </fill>
    <fill>
      <patternFill patternType="solid">
        <fgColor rgb="FF64D7D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6DCE4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164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0" fillId="6" borderId="10" xfId="0" applyFill="1" applyBorder="1"/>
    <xf numFmtId="0" fontId="0" fillId="6" borderId="11" xfId="0" applyFill="1" applyBorder="1"/>
    <xf numFmtId="0" fontId="5" fillId="7" borderId="5" xfId="0" applyFont="1" applyFill="1" applyBorder="1" applyAlignment="1">
      <alignment horizontal="left" vertical="center" wrapText="1"/>
    </xf>
    <xf numFmtId="0" fontId="3" fillId="8" borderId="5" xfId="0" applyFont="1" applyFill="1" applyBorder="1" applyAlignment="1">
      <alignment horizontal="left" vertical="top" wrapText="1"/>
    </xf>
    <xf numFmtId="0" fontId="4" fillId="8" borderId="5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164" fontId="9" fillId="9" borderId="16" xfId="0" applyNumberFormat="1" applyFont="1" applyFill="1" applyBorder="1" applyAlignment="1">
      <alignment horizontal="right"/>
    </xf>
    <xf numFmtId="164" fontId="9" fillId="9" borderId="12" xfId="0" applyNumberFormat="1" applyFont="1" applyFill="1" applyBorder="1" applyAlignment="1">
      <alignment horizontal="right"/>
    </xf>
    <xf numFmtId="0" fontId="9" fillId="8" borderId="16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166" fontId="9" fillId="9" borderId="16" xfId="0" applyNumberFormat="1" applyFont="1" applyFill="1" applyBorder="1" applyAlignment="1">
      <alignment horizontal="right"/>
    </xf>
    <xf numFmtId="166" fontId="9" fillId="9" borderId="12" xfId="0" applyNumberFormat="1" applyFont="1" applyFill="1" applyBorder="1" applyAlignment="1">
      <alignment horizontal="right"/>
    </xf>
    <xf numFmtId="165" fontId="9" fillId="9" borderId="16" xfId="0" applyNumberFormat="1" applyFont="1" applyFill="1" applyBorder="1" applyAlignment="1">
      <alignment horizontal="right"/>
    </xf>
    <xf numFmtId="165" fontId="9" fillId="9" borderId="12" xfId="0" applyNumberFormat="1" applyFont="1" applyFill="1" applyBorder="1" applyAlignment="1">
      <alignment horizontal="right"/>
    </xf>
    <xf numFmtId="0" fontId="1" fillId="0" borderId="0" xfId="0" applyFont="1" applyAlignment="1">
      <alignment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5" fillId="7" borderId="5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left" vertical="top" wrapText="1"/>
    </xf>
    <xf numFmtId="0" fontId="4" fillId="8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/>
    </xf>
    <xf numFmtId="166" fontId="9" fillId="9" borderId="17" xfId="0" applyNumberFormat="1" applyFont="1" applyFill="1" applyBorder="1" applyAlignment="1">
      <alignment horizontal="right"/>
    </xf>
    <xf numFmtId="0" fontId="0" fillId="0" borderId="0" xfId="0" applyAlignment="1"/>
    <xf numFmtId="0" fontId="0" fillId="6" borderId="3" xfId="0" applyFill="1" applyBorder="1" applyAlignment="1"/>
    <xf numFmtId="0" fontId="0" fillId="6" borderId="2" xfId="0" applyFill="1" applyBorder="1" applyAlignment="1"/>
    <xf numFmtId="0" fontId="0" fillId="6" borderId="7" xfId="0" applyFill="1" applyBorder="1" applyAlignment="1"/>
    <xf numFmtId="0" fontId="0" fillId="6" borderId="8" xfId="0" applyFill="1" applyBorder="1" applyAlignment="1"/>
    <xf numFmtId="0" fontId="0" fillId="6" borderId="9" xfId="0" applyFill="1" applyBorder="1" applyAlignment="1"/>
    <xf numFmtId="0" fontId="0" fillId="6" borderId="4" xfId="0" applyFill="1" applyBorder="1" applyAlignment="1"/>
    <xf numFmtId="0" fontId="0" fillId="6" borderId="5" xfId="0" applyFill="1" applyBorder="1" applyAlignment="1"/>
    <xf numFmtId="0" fontId="0" fillId="6" borderId="10" xfId="0" applyFill="1" applyBorder="1" applyAlignment="1"/>
    <xf numFmtId="0" fontId="0" fillId="6" borderId="11" xfId="0" applyFill="1" applyBorder="1" applyAlignment="1"/>
    <xf numFmtId="0" fontId="0" fillId="6" borderId="12" xfId="0" applyFill="1" applyBorder="1" applyAlignment="1"/>
    <xf numFmtId="0" fontId="0" fillId="6" borderId="13" xfId="0" applyFill="1" applyBorder="1" applyAlignment="1"/>
    <xf numFmtId="0" fontId="0" fillId="6" borderId="6" xfId="0" applyFill="1" applyBorder="1" applyAlignment="1"/>
    <xf numFmtId="0" fontId="8" fillId="0" borderId="0" xfId="0" applyFont="1" applyAlignment="1"/>
    <xf numFmtId="0" fontId="0" fillId="6" borderId="14" xfId="0" applyFill="1" applyBorder="1" applyAlignment="1"/>
    <xf numFmtId="0" fontId="0" fillId="6" borderId="17" xfId="0" applyFill="1" applyBorder="1" applyAlignment="1"/>
    <xf numFmtId="0" fontId="0" fillId="6" borderId="15" xfId="0" applyFill="1" applyBorder="1" applyAlignment="1"/>
    <xf numFmtId="0" fontId="0" fillId="6" borderId="16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workbookViewId="0"/>
  </sheetViews>
  <sheetFormatPr defaultRowHeight="15"/>
  <cols>
    <col min="1" max="3" width="22" customWidth="1"/>
    <col min="4" max="5" width="34" customWidth="1"/>
    <col min="6" max="6" width="70" customWidth="1"/>
    <col min="7" max="7" width="48" customWidth="1"/>
    <col min="8" max="8" width="27" customWidth="1"/>
    <col min="9" max="9" width="24" customWidth="1"/>
    <col min="10" max="10" width="43" customWidth="1"/>
    <col min="11" max="11" width="14" customWidth="1"/>
  </cols>
  <sheetData>
    <row r="1" spans="1:11" ht="27" customHeight="1">
      <c r="A1" s="28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30" customHeight="1">
      <c r="A2" s="29" t="s">
        <v>1</v>
      </c>
      <c r="B2" s="52"/>
      <c r="C2" s="53"/>
      <c r="D2" s="30" t="s">
        <v>2</v>
      </c>
      <c r="E2" s="54"/>
      <c r="F2" s="30" t="s">
        <v>3</v>
      </c>
      <c r="G2" s="55"/>
      <c r="H2" s="55"/>
      <c r="I2" s="55"/>
      <c r="J2" s="55"/>
      <c r="K2" s="56"/>
    </row>
    <row r="3" spans="1:11" ht="42" customHeight="1">
      <c r="A3" s="57"/>
      <c r="B3" s="57"/>
      <c r="C3" s="58"/>
      <c r="D3" s="31" t="s">
        <v>4</v>
      </c>
      <c r="E3" s="31" t="s">
        <v>1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9" t="s">
        <v>10</v>
      </c>
    </row>
    <row r="4" spans="1:11" ht="69.95" customHeight="1">
      <c r="A4" s="32" t="s">
        <v>11</v>
      </c>
      <c r="B4" s="32" t="s">
        <v>12</v>
      </c>
      <c r="C4" s="59"/>
      <c r="D4" s="33"/>
      <c r="E4" s="59"/>
      <c r="F4" s="34" t="s">
        <v>13</v>
      </c>
      <c r="G4" s="2" t="s">
        <v>14</v>
      </c>
      <c r="H4" s="2" t="s">
        <v>15</v>
      </c>
      <c r="I4" s="2" t="s">
        <v>16</v>
      </c>
      <c r="J4" s="2"/>
      <c r="K4" s="2" t="s">
        <v>15</v>
      </c>
    </row>
    <row r="5" spans="1:11" ht="69.95" customHeight="1">
      <c r="A5" s="59"/>
      <c r="B5" s="60"/>
      <c r="C5" s="61"/>
      <c r="D5" s="33"/>
      <c r="E5" s="61"/>
      <c r="F5" s="61"/>
      <c r="G5" s="2" t="s">
        <v>17</v>
      </c>
      <c r="H5" s="2" t="s">
        <v>15</v>
      </c>
      <c r="I5" s="2" t="s">
        <v>18</v>
      </c>
      <c r="J5" s="2"/>
      <c r="K5" s="2" t="s">
        <v>15</v>
      </c>
    </row>
    <row r="6" spans="1:11" ht="69.95" customHeight="1">
      <c r="A6" s="59"/>
      <c r="B6" s="32" t="s">
        <v>19</v>
      </c>
      <c r="C6" s="61"/>
      <c r="D6" s="33"/>
      <c r="E6" s="61"/>
      <c r="F6" s="2" t="s">
        <v>20</v>
      </c>
      <c r="G6" s="2"/>
      <c r="H6" s="2"/>
      <c r="I6" s="2"/>
      <c r="J6" s="2"/>
      <c r="K6" s="2"/>
    </row>
    <row r="7" spans="1:11" ht="69.95" customHeight="1">
      <c r="A7" s="59"/>
      <c r="B7" s="32" t="s">
        <v>21</v>
      </c>
      <c r="C7" s="61"/>
      <c r="D7" s="33"/>
      <c r="E7" s="61"/>
      <c r="F7" s="2" t="s">
        <v>22</v>
      </c>
      <c r="G7" s="2"/>
      <c r="H7" s="2"/>
      <c r="I7" s="2"/>
      <c r="J7" s="2"/>
      <c r="K7" s="2"/>
    </row>
    <row r="8" spans="1:11" ht="69.95" customHeight="1">
      <c r="A8" s="59"/>
      <c r="B8" s="32" t="s">
        <v>23</v>
      </c>
      <c r="C8" s="59"/>
      <c r="D8" s="33"/>
      <c r="E8" s="59"/>
      <c r="F8" s="34" t="s">
        <v>24</v>
      </c>
      <c r="G8" s="2" t="s">
        <v>25</v>
      </c>
      <c r="H8" s="2" t="s">
        <v>15</v>
      </c>
      <c r="I8" s="2"/>
      <c r="J8" s="2"/>
      <c r="K8" s="2" t="s">
        <v>15</v>
      </c>
    </row>
    <row r="9" spans="1:11" ht="69.95" customHeight="1">
      <c r="A9" s="59"/>
      <c r="B9" s="51"/>
      <c r="C9" s="59"/>
      <c r="D9" s="33"/>
      <c r="E9" s="59"/>
      <c r="F9" s="59"/>
      <c r="G9" s="2" t="s">
        <v>26</v>
      </c>
      <c r="H9" s="2" t="s">
        <v>15</v>
      </c>
      <c r="I9" s="2"/>
      <c r="J9" s="2"/>
      <c r="K9" s="2" t="s">
        <v>15</v>
      </c>
    </row>
    <row r="10" spans="1:11" ht="69.95" customHeight="1">
      <c r="A10" s="59"/>
      <c r="B10" s="51"/>
      <c r="C10" s="59"/>
      <c r="D10" s="33"/>
      <c r="E10" s="59"/>
      <c r="F10" s="59"/>
      <c r="G10" s="2" t="s">
        <v>27</v>
      </c>
      <c r="H10" s="2" t="s">
        <v>15</v>
      </c>
      <c r="I10" s="2"/>
      <c r="J10" s="2"/>
      <c r="K10" s="2" t="s">
        <v>15</v>
      </c>
    </row>
    <row r="11" spans="1:11" ht="69.95" customHeight="1">
      <c r="A11" s="59"/>
      <c r="B11" s="51"/>
      <c r="C11" s="59"/>
      <c r="D11" s="33"/>
      <c r="E11" s="59"/>
      <c r="F11" s="59"/>
      <c r="G11" s="2" t="s">
        <v>28</v>
      </c>
      <c r="H11" s="2" t="s">
        <v>15</v>
      </c>
      <c r="I11" s="2"/>
      <c r="J11" s="2"/>
      <c r="K11" s="2" t="s">
        <v>15</v>
      </c>
    </row>
    <row r="12" spans="1:11" ht="69.95" customHeight="1">
      <c r="A12" s="59"/>
      <c r="B12" s="51"/>
      <c r="C12" s="59"/>
      <c r="D12" s="33"/>
      <c r="E12" s="59"/>
      <c r="F12" s="59"/>
      <c r="G12" s="2" t="s">
        <v>29</v>
      </c>
      <c r="H12" s="2" t="s">
        <v>15</v>
      </c>
      <c r="I12" s="2"/>
      <c r="J12" s="2"/>
      <c r="K12" s="2" t="s">
        <v>15</v>
      </c>
    </row>
    <row r="13" spans="1:11" ht="69.95" customHeight="1">
      <c r="A13" s="59"/>
      <c r="B13" s="51"/>
      <c r="C13" s="59"/>
      <c r="D13" s="33"/>
      <c r="E13" s="59"/>
      <c r="F13" s="59"/>
      <c r="G13" s="2" t="s">
        <v>30</v>
      </c>
      <c r="H13" s="2" t="s">
        <v>15</v>
      </c>
      <c r="I13" s="2"/>
      <c r="J13" s="2"/>
      <c r="K13" s="2" t="s">
        <v>15</v>
      </c>
    </row>
    <row r="14" spans="1:11" ht="69.95" customHeight="1">
      <c r="A14" s="59"/>
      <c r="B14" s="51"/>
      <c r="C14" s="59"/>
      <c r="D14" s="33"/>
      <c r="E14" s="59"/>
      <c r="F14" s="59"/>
      <c r="G14" s="2" t="s">
        <v>31</v>
      </c>
      <c r="H14" s="2" t="s">
        <v>15</v>
      </c>
      <c r="I14" s="2"/>
      <c r="J14" s="2"/>
      <c r="K14" s="2" t="s">
        <v>15</v>
      </c>
    </row>
    <row r="15" spans="1:11" ht="69.95" customHeight="1">
      <c r="A15" s="59"/>
      <c r="B15" s="60"/>
      <c r="C15" s="61"/>
      <c r="D15" s="33"/>
      <c r="E15" s="61"/>
      <c r="F15" s="61"/>
      <c r="G15" s="2" t="s">
        <v>32</v>
      </c>
      <c r="H15" s="2" t="s">
        <v>15</v>
      </c>
      <c r="I15" s="2"/>
      <c r="J15" s="2"/>
      <c r="K15" s="2" t="s">
        <v>15</v>
      </c>
    </row>
    <row r="16" spans="1:11" ht="69.95" customHeight="1">
      <c r="A16" s="58"/>
      <c r="B16" s="35" t="s">
        <v>33</v>
      </c>
      <c r="C16" s="58"/>
      <c r="D16" s="36"/>
      <c r="E16" s="58"/>
      <c r="F16" s="13" t="s">
        <v>34</v>
      </c>
      <c r="G16" s="13"/>
      <c r="H16" s="13"/>
      <c r="I16" s="13"/>
      <c r="J16" s="13"/>
      <c r="K16" s="13"/>
    </row>
    <row r="17" spans="1:11" ht="69.95" customHeight="1">
      <c r="A17" s="32" t="s">
        <v>35</v>
      </c>
      <c r="B17" s="32" t="s">
        <v>36</v>
      </c>
      <c r="C17" s="59"/>
      <c r="D17" s="33"/>
      <c r="E17" s="59"/>
      <c r="F17" s="34" t="s">
        <v>37</v>
      </c>
      <c r="G17" s="2" t="s">
        <v>38</v>
      </c>
      <c r="H17" s="2" t="s">
        <v>15</v>
      </c>
      <c r="I17" s="2"/>
      <c r="J17" s="2"/>
      <c r="K17" s="2" t="s">
        <v>15</v>
      </c>
    </row>
    <row r="18" spans="1:11" ht="69.95" customHeight="1">
      <c r="A18" s="59"/>
      <c r="B18" s="51"/>
      <c r="C18" s="59"/>
      <c r="D18" s="33"/>
      <c r="E18" s="59"/>
      <c r="F18" s="59"/>
      <c r="G18" s="2" t="s">
        <v>39</v>
      </c>
      <c r="H18" s="2" t="s">
        <v>15</v>
      </c>
      <c r="I18" s="2"/>
      <c r="J18" s="2"/>
      <c r="K18" s="2" t="s">
        <v>15</v>
      </c>
    </row>
    <row r="19" spans="1:11" ht="69.95" customHeight="1">
      <c r="A19" s="59"/>
      <c r="B19" s="51"/>
      <c r="C19" s="59"/>
      <c r="D19" s="33"/>
      <c r="E19" s="59"/>
      <c r="F19" s="59"/>
      <c r="G19" s="2" t="s">
        <v>40</v>
      </c>
      <c r="H19" s="2" t="s">
        <v>15</v>
      </c>
      <c r="I19" s="2"/>
      <c r="J19" s="2"/>
      <c r="K19" s="2" t="s">
        <v>15</v>
      </c>
    </row>
    <row r="20" spans="1:11" ht="69.95" customHeight="1">
      <c r="A20" s="59"/>
      <c r="B20" s="51"/>
      <c r="C20" s="59"/>
      <c r="D20" s="33"/>
      <c r="E20" s="59"/>
      <c r="F20" s="59"/>
      <c r="G20" s="2" t="s">
        <v>41</v>
      </c>
      <c r="H20" s="2" t="s">
        <v>15</v>
      </c>
      <c r="I20" s="2"/>
      <c r="J20" s="2"/>
      <c r="K20" s="2" t="s">
        <v>15</v>
      </c>
    </row>
    <row r="21" spans="1:11" ht="69.95" customHeight="1">
      <c r="A21" s="59"/>
      <c r="B21" s="51"/>
      <c r="C21" s="59"/>
      <c r="D21" s="33"/>
      <c r="E21" s="59"/>
      <c r="F21" s="59"/>
      <c r="G21" s="2" t="s">
        <v>42</v>
      </c>
      <c r="H21" s="2" t="s">
        <v>15</v>
      </c>
      <c r="I21" s="2"/>
      <c r="J21" s="2"/>
      <c r="K21" s="2" t="s">
        <v>15</v>
      </c>
    </row>
    <row r="22" spans="1:11" ht="69.95" customHeight="1">
      <c r="A22" s="59"/>
      <c r="B22" s="60"/>
      <c r="C22" s="61"/>
      <c r="D22" s="33"/>
      <c r="E22" s="61"/>
      <c r="F22" s="61"/>
      <c r="G22" s="2" t="s">
        <v>43</v>
      </c>
      <c r="H22" s="2" t="s">
        <v>15</v>
      </c>
      <c r="I22" s="2"/>
      <c r="J22" s="2"/>
      <c r="K22" s="2" t="s">
        <v>15</v>
      </c>
    </row>
    <row r="23" spans="1:11" ht="69.95" customHeight="1">
      <c r="A23" s="58"/>
      <c r="B23" s="35" t="s">
        <v>44</v>
      </c>
      <c r="C23" s="58"/>
      <c r="D23" s="36"/>
      <c r="E23" s="58"/>
      <c r="F23" s="13" t="s">
        <v>45</v>
      </c>
      <c r="G23" s="13"/>
      <c r="H23" s="13"/>
      <c r="I23" s="13"/>
      <c r="J23" s="13"/>
      <c r="K23" s="13"/>
    </row>
    <row r="24" spans="1:11" ht="69.95" customHeight="1">
      <c r="A24" s="32" t="s">
        <v>46</v>
      </c>
      <c r="B24" s="32" t="s">
        <v>47</v>
      </c>
      <c r="C24" s="61"/>
      <c r="D24" s="33"/>
      <c r="E24" s="61"/>
      <c r="F24" s="2" t="s">
        <v>48</v>
      </c>
      <c r="G24" s="2"/>
      <c r="H24" s="2"/>
      <c r="I24" s="2"/>
      <c r="J24" s="2"/>
      <c r="K24" s="2"/>
    </row>
    <row r="25" spans="1:11" ht="69.95" customHeight="1">
      <c r="A25" s="59"/>
      <c r="B25" s="32" t="s">
        <v>49</v>
      </c>
      <c r="C25" s="61"/>
      <c r="D25" s="33"/>
      <c r="E25" s="61"/>
      <c r="F25" s="2" t="s">
        <v>50</v>
      </c>
      <c r="G25" s="2"/>
      <c r="H25" s="2"/>
      <c r="I25" s="2"/>
      <c r="J25" s="2"/>
      <c r="K25" s="2"/>
    </row>
    <row r="26" spans="1:11" ht="69.95" customHeight="1">
      <c r="A26" s="59"/>
      <c r="B26" s="32" t="s">
        <v>51</v>
      </c>
      <c r="C26" s="61"/>
      <c r="D26" s="33"/>
      <c r="E26" s="61"/>
      <c r="F26" s="2" t="s">
        <v>52</v>
      </c>
      <c r="G26" s="2"/>
      <c r="H26" s="2"/>
      <c r="I26" s="2"/>
      <c r="J26" s="2"/>
      <c r="K26" s="2"/>
    </row>
    <row r="27" spans="1:11" ht="69.95" customHeight="1">
      <c r="A27" s="59"/>
      <c r="B27" s="32" t="s">
        <v>53</v>
      </c>
      <c r="C27" s="61"/>
      <c r="D27" s="33"/>
      <c r="E27" s="61"/>
      <c r="F27" s="2" t="s">
        <v>54</v>
      </c>
      <c r="G27" s="2"/>
      <c r="H27" s="2"/>
      <c r="I27" s="2"/>
      <c r="J27" s="2"/>
      <c r="K27" s="2"/>
    </row>
    <row r="28" spans="1:11" ht="69.95" customHeight="1">
      <c r="A28" s="58"/>
      <c r="B28" s="35" t="s">
        <v>55</v>
      </c>
      <c r="C28" s="58"/>
      <c r="D28" s="36"/>
      <c r="E28" s="58"/>
      <c r="F28" s="13" t="s">
        <v>56</v>
      </c>
      <c r="G28" s="13"/>
      <c r="H28" s="13"/>
      <c r="I28" s="13"/>
      <c r="J28" s="13"/>
      <c r="K28" s="13"/>
    </row>
    <row r="29" spans="1:11" ht="69.95" customHeight="1">
      <c r="A29" s="32" t="s">
        <v>57</v>
      </c>
      <c r="B29" s="32" t="s">
        <v>58</v>
      </c>
      <c r="C29" s="61"/>
      <c r="D29" s="33"/>
      <c r="E29" s="61"/>
      <c r="F29" s="2" t="s">
        <v>59</v>
      </c>
      <c r="G29" s="2"/>
      <c r="H29" s="2"/>
      <c r="I29" s="2"/>
      <c r="J29" s="2"/>
      <c r="K29" s="2"/>
    </row>
    <row r="30" spans="1:11" ht="69.95" customHeight="1">
      <c r="A30" s="59"/>
      <c r="B30" s="32" t="s">
        <v>60</v>
      </c>
      <c r="C30" s="61"/>
      <c r="D30" s="33"/>
      <c r="E30" s="61"/>
      <c r="F30" s="2" t="s">
        <v>61</v>
      </c>
      <c r="G30" s="2"/>
      <c r="H30" s="2"/>
      <c r="I30" s="2"/>
      <c r="J30" s="2"/>
      <c r="K30" s="2"/>
    </row>
    <row r="31" spans="1:11" ht="69.95" customHeight="1">
      <c r="A31" s="59"/>
      <c r="B31" s="32" t="s">
        <v>62</v>
      </c>
      <c r="C31" s="61"/>
      <c r="D31" s="33"/>
      <c r="E31" s="61"/>
      <c r="F31" s="2" t="s">
        <v>63</v>
      </c>
      <c r="G31" s="2"/>
      <c r="H31" s="2"/>
      <c r="I31" s="2"/>
      <c r="J31" s="2"/>
      <c r="K31" s="2"/>
    </row>
    <row r="32" spans="1:11" ht="69.95" customHeight="1">
      <c r="A32" s="59"/>
      <c r="B32" s="32" t="s">
        <v>64</v>
      </c>
      <c r="C32" s="61"/>
      <c r="D32" s="33"/>
      <c r="E32" s="61"/>
      <c r="F32" s="2" t="s">
        <v>65</v>
      </c>
      <c r="G32" s="2"/>
      <c r="H32" s="2"/>
      <c r="I32" s="2"/>
      <c r="J32" s="2"/>
      <c r="K32" s="2"/>
    </row>
    <row r="33" spans="1:11" ht="69.95" customHeight="1">
      <c r="A33" s="58"/>
      <c r="B33" s="35" t="s">
        <v>66</v>
      </c>
      <c r="C33" s="58"/>
      <c r="D33" s="36"/>
      <c r="E33" s="58"/>
      <c r="F33" s="13" t="s">
        <v>67</v>
      </c>
      <c r="G33" s="13"/>
      <c r="H33" s="13"/>
      <c r="I33" s="13"/>
      <c r="J33" s="13"/>
      <c r="K33" s="13"/>
    </row>
    <row r="34" spans="1:11" ht="69.95" customHeight="1">
      <c r="A34" s="32" t="s">
        <v>68</v>
      </c>
      <c r="B34" s="32" t="s">
        <v>69</v>
      </c>
      <c r="C34" s="61"/>
      <c r="D34" s="33"/>
      <c r="E34" s="61"/>
      <c r="F34" s="2" t="s">
        <v>70</v>
      </c>
      <c r="G34" s="2"/>
      <c r="H34" s="2"/>
      <c r="I34" s="2"/>
      <c r="J34" s="2"/>
      <c r="K34" s="2"/>
    </row>
    <row r="35" spans="1:11" ht="69.95" customHeight="1">
      <c r="A35" s="59"/>
      <c r="B35" s="32" t="s">
        <v>71</v>
      </c>
      <c r="C35" s="61"/>
      <c r="D35" s="33"/>
      <c r="E35" s="61"/>
      <c r="F35" s="2" t="s">
        <v>72</v>
      </c>
      <c r="G35" s="2"/>
      <c r="H35" s="2"/>
      <c r="I35" s="2"/>
      <c r="J35" s="2"/>
      <c r="K35" s="2"/>
    </row>
    <row r="36" spans="1:11" ht="69.95" customHeight="1">
      <c r="A36" s="59"/>
      <c r="B36" s="32" t="s">
        <v>73</v>
      </c>
      <c r="C36" s="61"/>
      <c r="D36" s="33"/>
      <c r="E36" s="61"/>
      <c r="F36" s="2" t="s">
        <v>74</v>
      </c>
      <c r="G36" s="2"/>
      <c r="H36" s="2"/>
      <c r="I36" s="2"/>
      <c r="J36" s="2"/>
      <c r="K36" s="2"/>
    </row>
    <row r="37" spans="1:11" ht="69.95" customHeight="1">
      <c r="A37" s="58"/>
      <c r="B37" s="35" t="s">
        <v>75</v>
      </c>
      <c r="C37" s="58"/>
      <c r="D37" s="36"/>
      <c r="E37" s="58"/>
      <c r="F37" s="13" t="s">
        <v>76</v>
      </c>
      <c r="G37" s="13"/>
      <c r="H37" s="13"/>
      <c r="I37" s="13"/>
      <c r="J37" s="13"/>
      <c r="K37" s="13"/>
    </row>
    <row r="38" spans="1:11" ht="69.95" customHeight="1">
      <c r="A38" s="12" t="s">
        <v>77</v>
      </c>
      <c r="B38" s="35" t="s">
        <v>78</v>
      </c>
      <c r="C38" s="58"/>
      <c r="D38" s="36"/>
      <c r="E38" s="58"/>
      <c r="F38" s="13" t="s">
        <v>79</v>
      </c>
      <c r="G38" s="13"/>
      <c r="H38" s="13"/>
      <c r="I38" s="13"/>
      <c r="J38" s="13"/>
      <c r="K38" s="13"/>
    </row>
    <row r="39" spans="1:11" ht="18" customHeight="1">
      <c r="A39" s="37" t="s">
        <v>80</v>
      </c>
      <c r="B39" s="51"/>
      <c r="C39" s="59"/>
      <c r="D39" s="3" t="s">
        <v>81</v>
      </c>
      <c r="E39" s="3" t="s">
        <v>82</v>
      </c>
      <c r="F39" s="34" t="s">
        <v>1</v>
      </c>
      <c r="G39" s="60"/>
      <c r="H39" s="60"/>
      <c r="I39" s="60"/>
      <c r="J39" s="60"/>
      <c r="K39" s="62"/>
    </row>
    <row r="40" spans="1:11" ht="18" customHeight="1">
      <c r="A40" s="57"/>
      <c r="B40" s="57"/>
      <c r="C40" s="58"/>
      <c r="D40" s="14"/>
      <c r="E40" s="14"/>
      <c r="F40" s="38" t="s">
        <v>83</v>
      </c>
      <c r="G40" s="57"/>
      <c r="H40" s="57"/>
      <c r="I40" s="57"/>
      <c r="J40" s="57"/>
      <c r="K40" s="63"/>
    </row>
    <row r="41" spans="1:11" ht="20.100000000000001" customHeight="1">
      <c r="A41" s="37" t="s">
        <v>84</v>
      </c>
      <c r="B41" s="3" t="s">
        <v>85</v>
      </c>
      <c r="C41" s="3" t="s">
        <v>86</v>
      </c>
      <c r="D41" s="3" t="s">
        <v>87</v>
      </c>
      <c r="E41" s="3" t="s">
        <v>88</v>
      </c>
      <c r="F41" s="3" t="s">
        <v>89</v>
      </c>
      <c r="G41" s="3" t="s">
        <v>90</v>
      </c>
      <c r="H41" s="3" t="s">
        <v>91</v>
      </c>
      <c r="I41" s="37" t="s">
        <v>92</v>
      </c>
      <c r="J41" s="60"/>
      <c r="K41" s="62"/>
    </row>
    <row r="42" spans="1:11" ht="60" customHeight="1">
      <c r="A42" s="58"/>
      <c r="B42" s="14"/>
      <c r="C42" s="14"/>
      <c r="D42" s="14"/>
      <c r="E42" s="14"/>
      <c r="F42" s="14"/>
      <c r="G42" s="14"/>
      <c r="H42" s="14"/>
      <c r="I42" s="39"/>
      <c r="J42" s="57"/>
      <c r="K42" s="63"/>
    </row>
    <row r="43" spans="1:11" ht="20.100000000000001" customHeight="1">
      <c r="A43" s="37" t="s">
        <v>93</v>
      </c>
      <c r="B43" s="3" t="s">
        <v>85</v>
      </c>
      <c r="C43" s="3" t="s">
        <v>86</v>
      </c>
      <c r="D43" s="3" t="s">
        <v>87</v>
      </c>
      <c r="E43" s="3" t="s">
        <v>88</v>
      </c>
      <c r="F43" s="3" t="s">
        <v>89</v>
      </c>
      <c r="G43" s="3" t="s">
        <v>90</v>
      </c>
      <c r="H43" s="3" t="s">
        <v>91</v>
      </c>
      <c r="I43" s="37" t="s">
        <v>92</v>
      </c>
      <c r="J43" s="60"/>
      <c r="K43" s="62"/>
    </row>
    <row r="44" spans="1:11" ht="60" customHeight="1">
      <c r="A44" s="58"/>
      <c r="B44" s="14"/>
      <c r="C44" s="14"/>
      <c r="D44" s="14"/>
      <c r="E44" s="14"/>
      <c r="F44" s="14"/>
      <c r="G44" s="14"/>
      <c r="H44" s="14"/>
      <c r="I44" s="39"/>
      <c r="J44" s="57"/>
      <c r="K44" s="63"/>
    </row>
    <row r="45" spans="1:11" ht="20.100000000000001" customHeight="1">
      <c r="A45" s="37" t="s">
        <v>94</v>
      </c>
      <c r="B45" s="3" t="s">
        <v>85</v>
      </c>
      <c r="C45" s="3" t="s">
        <v>86</v>
      </c>
      <c r="D45" s="3" t="s">
        <v>87</v>
      </c>
      <c r="E45" s="3" t="s">
        <v>88</v>
      </c>
      <c r="F45" s="3" t="s">
        <v>89</v>
      </c>
      <c r="G45" s="3" t="s">
        <v>90</v>
      </c>
      <c r="H45" s="3" t="s">
        <v>91</v>
      </c>
      <c r="I45" s="37" t="s">
        <v>92</v>
      </c>
      <c r="J45" s="60"/>
      <c r="K45" s="62"/>
    </row>
    <row r="46" spans="1:11" ht="60" customHeight="1">
      <c r="A46" s="58"/>
      <c r="B46" s="14"/>
      <c r="C46" s="14"/>
      <c r="D46" s="14"/>
      <c r="E46" s="14"/>
      <c r="F46" s="14"/>
      <c r="G46" s="14"/>
      <c r="H46" s="14"/>
      <c r="I46" s="39"/>
      <c r="J46" s="57"/>
      <c r="K46" s="63"/>
    </row>
    <row r="47" spans="1:11" ht="99.95" customHeight="1">
      <c r="A47" s="40" t="s">
        <v>95</v>
      </c>
      <c r="B47" s="60"/>
      <c r="C47" s="60"/>
      <c r="D47" s="60"/>
      <c r="E47" s="60"/>
      <c r="F47" s="60"/>
      <c r="G47" s="60"/>
      <c r="H47" s="60"/>
      <c r="I47" s="60"/>
      <c r="J47" s="60"/>
      <c r="K47" s="61"/>
    </row>
  </sheetData>
  <mergeCells count="70">
    <mergeCell ref="A45:A46"/>
    <mergeCell ref="I45:K45"/>
    <mergeCell ref="I46:K46"/>
    <mergeCell ref="A47:K47"/>
    <mergeCell ref="A41:A42"/>
    <mergeCell ref="I41:K41"/>
    <mergeCell ref="I42:K42"/>
    <mergeCell ref="A43:A44"/>
    <mergeCell ref="I43:K43"/>
    <mergeCell ref="I44:K44"/>
    <mergeCell ref="B38:C38"/>
    <mergeCell ref="D38:E38"/>
    <mergeCell ref="A39:C40"/>
    <mergeCell ref="F39:K39"/>
    <mergeCell ref="F40:K40"/>
    <mergeCell ref="B35:C35"/>
    <mergeCell ref="D35:E35"/>
    <mergeCell ref="B36:C36"/>
    <mergeCell ref="D36:E36"/>
    <mergeCell ref="B37:C37"/>
    <mergeCell ref="D37:E37"/>
    <mergeCell ref="B33:C33"/>
    <mergeCell ref="D33:E33"/>
    <mergeCell ref="A29:A33"/>
    <mergeCell ref="B34:C34"/>
    <mergeCell ref="D34:E34"/>
    <mergeCell ref="A34:A37"/>
    <mergeCell ref="B30:C30"/>
    <mergeCell ref="D30:E30"/>
    <mergeCell ref="B31:C31"/>
    <mergeCell ref="D31:E31"/>
    <mergeCell ref="B32:C32"/>
    <mergeCell ref="D32:E32"/>
    <mergeCell ref="B28:C28"/>
    <mergeCell ref="D28:E28"/>
    <mergeCell ref="A24:A28"/>
    <mergeCell ref="B29:C29"/>
    <mergeCell ref="D29:E29"/>
    <mergeCell ref="B25:C25"/>
    <mergeCell ref="D25:E25"/>
    <mergeCell ref="B26:C26"/>
    <mergeCell ref="D26:E26"/>
    <mergeCell ref="B27:C27"/>
    <mergeCell ref="D27:E27"/>
    <mergeCell ref="F17:F22"/>
    <mergeCell ref="B23:C23"/>
    <mergeCell ref="D23:E23"/>
    <mergeCell ref="A17:A23"/>
    <mergeCell ref="B24:C24"/>
    <mergeCell ref="D24:E24"/>
    <mergeCell ref="B16:C16"/>
    <mergeCell ref="D16:E16"/>
    <mergeCell ref="A4:A16"/>
    <mergeCell ref="B17:C22"/>
    <mergeCell ref="D17:E22"/>
    <mergeCell ref="B7:C7"/>
    <mergeCell ref="D7:E7"/>
    <mergeCell ref="B8:C15"/>
    <mergeCell ref="D8:E15"/>
    <mergeCell ref="F8:F15"/>
    <mergeCell ref="B4:C5"/>
    <mergeCell ref="D4:E5"/>
    <mergeCell ref="F4:F5"/>
    <mergeCell ref="B6:C6"/>
    <mergeCell ref="D6:E6"/>
    <mergeCell ref="A1:K1"/>
    <mergeCell ref="A2:C3"/>
    <mergeCell ref="D2:E2"/>
    <mergeCell ref="F2:K2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R18"/>
  <sheetViews>
    <sheetView workbookViewId="0"/>
  </sheetViews>
  <sheetFormatPr defaultRowHeight="15"/>
  <cols>
    <col min="1" max="1" width="9" customWidth="1"/>
    <col min="2" max="2" width="20" customWidth="1"/>
    <col min="3" max="4" width="19" customWidth="1"/>
    <col min="5" max="5" width="20" customWidth="1"/>
    <col min="6" max="6" width="30" customWidth="1"/>
    <col min="7" max="7" width="15" customWidth="1"/>
    <col min="8" max="8" width="10" customWidth="1"/>
    <col min="9" max="9" width="74" customWidth="1"/>
    <col min="10" max="10" width="33" customWidth="1"/>
    <col min="11" max="11" width="40" customWidth="1"/>
    <col min="12" max="12" width="14" customWidth="1"/>
    <col min="13" max="13" width="30" customWidth="1"/>
    <col min="14" max="20" width="20" customWidth="1"/>
    <col min="21" max="21" width="45" customWidth="1"/>
    <col min="22" max="38" width="20" customWidth="1"/>
    <col min="39" max="39" width="29" customWidth="1"/>
    <col min="40" max="41" width="17" customWidth="1"/>
    <col min="42" max="43" width="15" customWidth="1"/>
    <col min="44" max="44" width="20" customWidth="1"/>
  </cols>
  <sheetData>
    <row r="2" spans="1:44">
      <c r="B2" s="1" t="s">
        <v>96</v>
      </c>
      <c r="I2" s="5" t="s">
        <v>97</v>
      </c>
      <c r="J2" s="4">
        <f>D3 + 'Emission Inventory Scope 2-6'!D2</f>
        <v>0.13885424928750001</v>
      </c>
      <c r="K2" s="6" t="s">
        <v>98</v>
      </c>
    </row>
    <row r="3" spans="1:44">
      <c r="B3" s="41" t="s">
        <v>99</v>
      </c>
      <c r="C3" s="52"/>
      <c r="D3" s="42">
        <f>SUM(AJ6:AJ17)</f>
        <v>0.13885424928750001</v>
      </c>
      <c r="E3" s="52"/>
      <c r="F3" s="41" t="s">
        <v>98</v>
      </c>
      <c r="G3" s="41" t="s">
        <v>100</v>
      </c>
      <c r="H3" s="41" t="s">
        <v>101</v>
      </c>
      <c r="I3" s="41" t="s">
        <v>6</v>
      </c>
      <c r="J3" s="41" t="s">
        <v>102</v>
      </c>
      <c r="K3" s="41" t="s">
        <v>103</v>
      </c>
      <c r="L3" s="41" t="s">
        <v>104</v>
      </c>
      <c r="M3" s="43" t="s">
        <v>105</v>
      </c>
      <c r="N3" s="41" t="s">
        <v>106</v>
      </c>
      <c r="O3" s="52"/>
      <c r="P3" s="52"/>
      <c r="Q3" s="52"/>
      <c r="R3" s="52"/>
      <c r="S3" s="52"/>
      <c r="T3" s="52"/>
      <c r="U3" s="43" t="s">
        <v>9</v>
      </c>
      <c r="V3" s="41" t="s">
        <v>107</v>
      </c>
      <c r="W3" s="52"/>
      <c r="X3" s="52"/>
      <c r="Y3" s="52"/>
      <c r="Z3" s="52"/>
      <c r="AA3" s="52"/>
      <c r="AB3" s="53"/>
      <c r="AC3" s="41" t="s">
        <v>108</v>
      </c>
      <c r="AD3" s="52"/>
      <c r="AE3" s="52"/>
      <c r="AF3" s="52"/>
      <c r="AG3" s="52"/>
      <c r="AH3" s="52"/>
      <c r="AI3" s="53"/>
      <c r="AJ3" s="41" t="s">
        <v>109</v>
      </c>
      <c r="AK3" s="41" t="s">
        <v>110</v>
      </c>
      <c r="AL3" s="43" t="s">
        <v>111</v>
      </c>
      <c r="AM3" s="41" t="s">
        <v>112</v>
      </c>
      <c r="AN3" s="41" t="s">
        <v>113</v>
      </c>
      <c r="AO3" s="43" t="s">
        <v>114</v>
      </c>
      <c r="AP3" s="41" t="s">
        <v>115</v>
      </c>
      <c r="AQ3" s="41" t="s">
        <v>7</v>
      </c>
      <c r="AR3" s="41" t="s">
        <v>116</v>
      </c>
    </row>
    <row r="4" spans="1:44"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1"/>
      <c r="N4" s="22" t="s">
        <v>85</v>
      </c>
      <c r="O4" s="22" t="s">
        <v>86</v>
      </c>
      <c r="P4" s="22" t="s">
        <v>87</v>
      </c>
      <c r="Q4" s="22" t="s">
        <v>88</v>
      </c>
      <c r="R4" s="22" t="s">
        <v>89</v>
      </c>
      <c r="S4" s="22" t="s">
        <v>90</v>
      </c>
      <c r="T4" s="22" t="s">
        <v>91</v>
      </c>
      <c r="U4" s="61"/>
      <c r="V4" s="22" t="s">
        <v>85</v>
      </c>
      <c r="W4" s="22" t="s">
        <v>86</v>
      </c>
      <c r="X4" s="22" t="s">
        <v>87</v>
      </c>
      <c r="Y4" s="22" t="s">
        <v>88</v>
      </c>
      <c r="Z4" s="22" t="s">
        <v>89</v>
      </c>
      <c r="AA4" s="22" t="s">
        <v>90</v>
      </c>
      <c r="AB4" s="23" t="s">
        <v>91</v>
      </c>
      <c r="AC4" s="22" t="s">
        <v>85</v>
      </c>
      <c r="AD4" s="22" t="s">
        <v>86</v>
      </c>
      <c r="AE4" s="22" t="s">
        <v>87</v>
      </c>
      <c r="AF4" s="22" t="s">
        <v>88</v>
      </c>
      <c r="AG4" s="22" t="s">
        <v>89</v>
      </c>
      <c r="AH4" s="22" t="s">
        <v>90</v>
      </c>
      <c r="AI4" s="23" t="s">
        <v>91</v>
      </c>
      <c r="AJ4" s="60"/>
      <c r="AK4" s="60"/>
      <c r="AL4" s="61"/>
      <c r="AM4" s="60"/>
      <c r="AN4" s="60"/>
      <c r="AO4" s="61"/>
      <c r="AP4" s="60"/>
      <c r="AQ4" s="60"/>
      <c r="AR4" s="60"/>
    </row>
    <row r="5" spans="1:44">
      <c r="B5" s="6" t="s">
        <v>117</v>
      </c>
      <c r="C5" s="64" t="s">
        <v>118</v>
      </c>
      <c r="D5" s="51"/>
      <c r="E5" s="51"/>
      <c r="F5" s="51"/>
      <c r="G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</row>
    <row r="6" spans="1:44">
      <c r="A6" s="10"/>
      <c r="B6" s="44" t="s">
        <v>119</v>
      </c>
      <c r="C6" s="46" t="s">
        <v>12</v>
      </c>
      <c r="D6" s="65"/>
      <c r="E6" s="65"/>
      <c r="F6" s="66"/>
      <c r="G6" s="17" t="s">
        <v>15</v>
      </c>
      <c r="H6" s="45" t="s">
        <v>120</v>
      </c>
      <c r="I6" s="17" t="s">
        <v>14</v>
      </c>
      <c r="J6" s="17" t="s">
        <v>16</v>
      </c>
      <c r="K6" s="19" t="s">
        <v>121</v>
      </c>
      <c r="L6" s="17"/>
      <c r="M6" s="17" t="s">
        <v>15</v>
      </c>
      <c r="N6" s="19" t="s">
        <v>122</v>
      </c>
      <c r="O6" s="19" t="s">
        <v>122</v>
      </c>
      <c r="P6" s="19" t="s">
        <v>122</v>
      </c>
      <c r="Q6" s="19" t="s">
        <v>122</v>
      </c>
      <c r="R6" s="19" t="s">
        <v>122</v>
      </c>
      <c r="S6" s="19" t="s">
        <v>122</v>
      </c>
      <c r="T6" s="19" t="s">
        <v>122</v>
      </c>
      <c r="U6" s="17"/>
      <c r="V6" s="19" t="s">
        <v>123</v>
      </c>
      <c r="W6" s="19" t="s">
        <v>124</v>
      </c>
      <c r="X6" s="19" t="s">
        <v>125</v>
      </c>
      <c r="Y6" s="19" t="s">
        <v>122</v>
      </c>
      <c r="Z6" s="19" t="s">
        <v>122</v>
      </c>
      <c r="AA6" s="19" t="s">
        <v>126</v>
      </c>
      <c r="AB6" s="19" t="s">
        <v>127</v>
      </c>
      <c r="AC6" s="19">
        <f>K6*N6*V6/1000</f>
        <v>0</v>
      </c>
      <c r="AD6" s="19">
        <f>K6*O6*W6/1000</f>
        <v>0</v>
      </c>
      <c r="AE6" s="19">
        <f>K6*P6*X6/1000</f>
        <v>0</v>
      </c>
      <c r="AF6" s="19">
        <f>K6*Q6*Y6/1000</f>
        <v>0</v>
      </c>
      <c r="AG6" s="19">
        <f>K6*R6*Z6/1000</f>
        <v>0</v>
      </c>
      <c r="AH6" s="19">
        <f>K6*S6*AA6/1000</f>
        <v>0</v>
      </c>
      <c r="AI6" s="19">
        <f>K6*T6*AB6/1000</f>
        <v>0</v>
      </c>
      <c r="AJ6" s="24">
        <f>SUM(AC6:AI6)</f>
        <v>0</v>
      </c>
      <c r="AK6" s="26">
        <f>AJ6/(D3 +SUM('Emission Inventory Scope 2-6'!W4,'Emission Inventory Scope 2-6'!W10))</f>
        <v>0</v>
      </c>
      <c r="AL6" s="26">
        <f>AJ6/(D3 +'Emission Inventory Scope 2-6'!D2)</f>
        <v>0</v>
      </c>
      <c r="AM6" s="19" t="s">
        <v>122</v>
      </c>
      <c r="AN6" s="17"/>
      <c r="AO6" s="17" t="s">
        <v>128</v>
      </c>
      <c r="AP6" s="19" t="s">
        <v>1</v>
      </c>
      <c r="AQ6" s="19" t="s">
        <v>1</v>
      </c>
      <c r="AR6" s="19" t="s">
        <v>1</v>
      </c>
    </row>
    <row r="7" spans="1:44">
      <c r="A7" s="10"/>
      <c r="B7" s="61"/>
      <c r="C7" s="60"/>
      <c r="D7" s="60"/>
      <c r="E7" s="60"/>
      <c r="F7" s="61"/>
      <c r="G7" s="18" t="s">
        <v>15</v>
      </c>
      <c r="H7" s="61"/>
      <c r="I7" s="18" t="s">
        <v>17</v>
      </c>
      <c r="J7" s="18" t="s">
        <v>18</v>
      </c>
      <c r="K7" s="20" t="s">
        <v>121</v>
      </c>
      <c r="L7" s="18"/>
      <c r="M7" s="18" t="s">
        <v>15</v>
      </c>
      <c r="N7" s="20" t="s">
        <v>122</v>
      </c>
      <c r="O7" s="20" t="s">
        <v>122</v>
      </c>
      <c r="P7" s="20" t="s">
        <v>122</v>
      </c>
      <c r="Q7" s="20" t="s">
        <v>122</v>
      </c>
      <c r="R7" s="20" t="s">
        <v>122</v>
      </c>
      <c r="S7" s="20" t="s">
        <v>122</v>
      </c>
      <c r="T7" s="20" t="s">
        <v>122</v>
      </c>
      <c r="U7" s="18"/>
      <c r="V7" s="20" t="s">
        <v>123</v>
      </c>
      <c r="W7" s="20" t="s">
        <v>124</v>
      </c>
      <c r="X7" s="20" t="s">
        <v>125</v>
      </c>
      <c r="Y7" s="20" t="s">
        <v>122</v>
      </c>
      <c r="Z7" s="20" t="s">
        <v>122</v>
      </c>
      <c r="AA7" s="20" t="s">
        <v>126</v>
      </c>
      <c r="AB7" s="20" t="s">
        <v>127</v>
      </c>
      <c r="AC7" s="20">
        <f>K7*N7*V7/1000</f>
        <v>0</v>
      </c>
      <c r="AD7" s="20">
        <f>K7*O7*W7/1000</f>
        <v>0</v>
      </c>
      <c r="AE7" s="20">
        <f>K7*P7*X7/1000</f>
        <v>0</v>
      </c>
      <c r="AF7" s="20">
        <f>K7*Q7*Y7/1000</f>
        <v>0</v>
      </c>
      <c r="AG7" s="20">
        <f>K7*R7*Z7/1000</f>
        <v>0</v>
      </c>
      <c r="AH7" s="20">
        <f>K7*S7*AA7/1000</f>
        <v>0</v>
      </c>
      <c r="AI7" s="20">
        <f>K7*T7*AB7/1000</f>
        <v>0</v>
      </c>
      <c r="AJ7" s="25">
        <f>SUM(AC7:AI7)</f>
        <v>0</v>
      </c>
      <c r="AK7" s="27">
        <f>AJ7/(D3 +SUM('Emission Inventory Scope 2-6'!W4,'Emission Inventory Scope 2-6'!W10))</f>
        <v>0</v>
      </c>
      <c r="AL7" s="27">
        <f>AJ7/(D3 +'Emission Inventory Scope 2-6'!D2)</f>
        <v>0</v>
      </c>
      <c r="AM7" s="20" t="s">
        <v>122</v>
      </c>
      <c r="AN7" s="18"/>
      <c r="AO7" s="18" t="s">
        <v>128</v>
      </c>
      <c r="AP7" s="20" t="s">
        <v>1</v>
      </c>
      <c r="AQ7" s="20" t="s">
        <v>1</v>
      </c>
      <c r="AR7" s="20" t="s">
        <v>1</v>
      </c>
    </row>
    <row r="8" spans="1:44">
      <c r="A8" s="10"/>
      <c r="B8" s="21" t="s">
        <v>129</v>
      </c>
      <c r="C8" s="47" t="s">
        <v>19</v>
      </c>
      <c r="D8" s="67"/>
      <c r="E8" s="67"/>
      <c r="F8" s="68"/>
      <c r="G8" s="17" t="s">
        <v>1</v>
      </c>
      <c r="H8" s="17"/>
      <c r="I8" s="17" t="s">
        <v>1</v>
      </c>
      <c r="J8" s="17" t="s">
        <v>1</v>
      </c>
      <c r="K8" s="19" t="s">
        <v>1</v>
      </c>
      <c r="L8" s="17" t="s">
        <v>1</v>
      </c>
      <c r="M8" s="17" t="s">
        <v>1</v>
      </c>
      <c r="N8" s="19" t="s">
        <v>1</v>
      </c>
      <c r="O8" s="19" t="s">
        <v>1</v>
      </c>
      <c r="P8" s="19" t="s">
        <v>1</v>
      </c>
      <c r="Q8" s="19" t="s">
        <v>1</v>
      </c>
      <c r="R8" s="19" t="s">
        <v>1</v>
      </c>
      <c r="S8" s="19" t="s">
        <v>1</v>
      </c>
      <c r="T8" s="19" t="s">
        <v>1</v>
      </c>
      <c r="U8" s="17" t="s">
        <v>1</v>
      </c>
      <c r="V8" s="19" t="s">
        <v>1</v>
      </c>
      <c r="W8" s="19" t="s">
        <v>1</v>
      </c>
      <c r="X8" s="19" t="s">
        <v>1</v>
      </c>
      <c r="Y8" s="19" t="s">
        <v>1</v>
      </c>
      <c r="Z8" s="19" t="s">
        <v>1</v>
      </c>
      <c r="AA8" s="19" t="s">
        <v>1</v>
      </c>
      <c r="AB8" s="19" t="s">
        <v>1</v>
      </c>
      <c r="AC8" s="19" t="s">
        <v>1</v>
      </c>
      <c r="AD8" s="19" t="s">
        <v>1</v>
      </c>
      <c r="AE8" s="19" t="s">
        <v>1</v>
      </c>
      <c r="AF8" s="19" t="s">
        <v>1</v>
      </c>
      <c r="AG8" s="19" t="s">
        <v>1</v>
      </c>
      <c r="AH8" s="19" t="s">
        <v>1</v>
      </c>
      <c r="AI8" s="19" t="s">
        <v>1</v>
      </c>
      <c r="AJ8" s="19" t="s">
        <v>1</v>
      </c>
      <c r="AK8" s="26" t="s">
        <v>1</v>
      </c>
      <c r="AL8" s="26" t="s">
        <v>1</v>
      </c>
      <c r="AM8" s="19" t="s">
        <v>1</v>
      </c>
      <c r="AN8" s="17" t="s">
        <v>1</v>
      </c>
      <c r="AO8" s="17" t="s">
        <v>1</v>
      </c>
      <c r="AP8" s="19" t="s">
        <v>1</v>
      </c>
      <c r="AQ8" s="19" t="s">
        <v>1</v>
      </c>
      <c r="AR8" s="19" t="s">
        <v>1</v>
      </c>
    </row>
    <row r="9" spans="1:44">
      <c r="A9" s="10"/>
      <c r="B9" s="21" t="s">
        <v>130</v>
      </c>
      <c r="C9" s="47" t="s">
        <v>21</v>
      </c>
      <c r="D9" s="67"/>
      <c r="E9" s="67"/>
      <c r="F9" s="68"/>
      <c r="G9" s="17" t="s">
        <v>1</v>
      </c>
      <c r="H9" s="17"/>
      <c r="I9" s="17" t="s">
        <v>1</v>
      </c>
      <c r="J9" s="17" t="s">
        <v>1</v>
      </c>
      <c r="K9" s="19" t="s">
        <v>1</v>
      </c>
      <c r="L9" s="17" t="s">
        <v>1</v>
      </c>
      <c r="M9" s="17" t="s">
        <v>1</v>
      </c>
      <c r="N9" s="19" t="s">
        <v>1</v>
      </c>
      <c r="O9" s="19" t="s">
        <v>1</v>
      </c>
      <c r="P9" s="19" t="s">
        <v>1</v>
      </c>
      <c r="Q9" s="19" t="s">
        <v>1</v>
      </c>
      <c r="R9" s="19" t="s">
        <v>1</v>
      </c>
      <c r="S9" s="19" t="s">
        <v>1</v>
      </c>
      <c r="T9" s="19" t="s">
        <v>1</v>
      </c>
      <c r="U9" s="17" t="s">
        <v>1</v>
      </c>
      <c r="V9" s="19" t="s">
        <v>1</v>
      </c>
      <c r="W9" s="19" t="s">
        <v>1</v>
      </c>
      <c r="X9" s="19" t="s">
        <v>1</v>
      </c>
      <c r="Y9" s="19" t="s">
        <v>1</v>
      </c>
      <c r="Z9" s="19" t="s">
        <v>1</v>
      </c>
      <c r="AA9" s="19" t="s">
        <v>1</v>
      </c>
      <c r="AB9" s="19" t="s">
        <v>1</v>
      </c>
      <c r="AC9" s="19" t="s">
        <v>1</v>
      </c>
      <c r="AD9" s="19" t="s">
        <v>1</v>
      </c>
      <c r="AE9" s="19" t="s">
        <v>1</v>
      </c>
      <c r="AF9" s="19" t="s">
        <v>1</v>
      </c>
      <c r="AG9" s="19" t="s">
        <v>1</v>
      </c>
      <c r="AH9" s="19" t="s">
        <v>1</v>
      </c>
      <c r="AI9" s="19" t="s">
        <v>1</v>
      </c>
      <c r="AJ9" s="19" t="s">
        <v>1</v>
      </c>
      <c r="AK9" s="26" t="s">
        <v>1</v>
      </c>
      <c r="AL9" s="26" t="s">
        <v>1</v>
      </c>
      <c r="AM9" s="19" t="s">
        <v>1</v>
      </c>
      <c r="AN9" s="17" t="s">
        <v>1</v>
      </c>
      <c r="AO9" s="17" t="s">
        <v>1</v>
      </c>
      <c r="AP9" s="19" t="s">
        <v>1</v>
      </c>
      <c r="AQ9" s="19" t="s">
        <v>1</v>
      </c>
      <c r="AR9" s="19" t="s">
        <v>1</v>
      </c>
    </row>
    <row r="10" spans="1:44">
      <c r="A10" s="10"/>
      <c r="B10" s="44" t="s">
        <v>131</v>
      </c>
      <c r="C10" s="46" t="s">
        <v>23</v>
      </c>
      <c r="D10" s="65"/>
      <c r="E10" s="65"/>
      <c r="F10" s="66"/>
      <c r="G10" s="17" t="s">
        <v>15</v>
      </c>
      <c r="H10" s="45" t="s">
        <v>120</v>
      </c>
      <c r="I10" s="17" t="s">
        <v>25</v>
      </c>
      <c r="J10" s="17"/>
      <c r="K10" s="19" t="s">
        <v>132</v>
      </c>
      <c r="L10" s="17" t="s">
        <v>133</v>
      </c>
      <c r="M10" s="17" t="s">
        <v>15</v>
      </c>
      <c r="N10" s="19" t="s">
        <v>122</v>
      </c>
      <c r="O10" s="19" t="s">
        <v>122</v>
      </c>
      <c r="P10" s="19" t="s">
        <v>122</v>
      </c>
      <c r="Q10" s="19" t="s">
        <v>128</v>
      </c>
      <c r="R10" s="19" t="s">
        <v>122</v>
      </c>
      <c r="S10" s="19" t="s">
        <v>122</v>
      </c>
      <c r="T10" s="19" t="s">
        <v>122</v>
      </c>
      <c r="U10" s="17"/>
      <c r="V10" s="19" t="s">
        <v>123</v>
      </c>
      <c r="W10" s="19" t="s">
        <v>124</v>
      </c>
      <c r="X10" s="19" t="s">
        <v>125</v>
      </c>
      <c r="Y10" s="19" t="s">
        <v>134</v>
      </c>
      <c r="Z10" s="19" t="s">
        <v>122</v>
      </c>
      <c r="AA10" s="19" t="s">
        <v>126</v>
      </c>
      <c r="AB10" s="19" t="s">
        <v>127</v>
      </c>
      <c r="AC10" s="19">
        <f>K10*N10*V10*AR10*0.01/1000</f>
        <v>0</v>
      </c>
      <c r="AD10" s="19">
        <f>K10*O10*W10*AR10*0.01/1000</f>
        <v>0</v>
      </c>
      <c r="AE10" s="19">
        <f>K10*P10*X10*AR10*0.01/1000</f>
        <v>0</v>
      </c>
      <c r="AF10" s="19">
        <f>K10*Q10*Y10*AR10*0.01/1000</f>
        <v>3.49811E-4</v>
      </c>
      <c r="AG10" s="19">
        <f>K10*R10*Z10*AR10*0.01/1000</f>
        <v>0</v>
      </c>
      <c r="AH10" s="19">
        <f>K10*S10*AA10*AR10*0.01/1000</f>
        <v>0</v>
      </c>
      <c r="AI10" s="19">
        <f>K10*T10*AB10*AR10*0.01/1000</f>
        <v>0</v>
      </c>
      <c r="AJ10" s="24">
        <f>SUM(AC10:AI10)</f>
        <v>3.49811E-4</v>
      </c>
      <c r="AK10" s="26">
        <f>AJ10/(D3 +SUM('Emission Inventory Scope 2-6'!W4,'Emission Inventory Scope 2-6'!W10))</f>
        <v>2.5192675182428921E-3</v>
      </c>
      <c r="AL10" s="26">
        <f>AJ10/(D3 +'Emission Inventory Scope 2-6'!D2)</f>
        <v>2.5192675182428921E-3</v>
      </c>
      <c r="AM10" s="19" t="s">
        <v>122</v>
      </c>
      <c r="AN10" s="17"/>
      <c r="AO10" s="17" t="s">
        <v>128</v>
      </c>
      <c r="AP10" s="19" t="s">
        <v>135</v>
      </c>
      <c r="AQ10" s="19" t="s">
        <v>136</v>
      </c>
      <c r="AR10" s="19" t="s">
        <v>137</v>
      </c>
    </row>
    <row r="11" spans="1:44">
      <c r="A11" s="10"/>
      <c r="B11" s="59"/>
      <c r="C11" s="51"/>
      <c r="D11" s="51"/>
      <c r="E11" s="51"/>
      <c r="F11" s="59"/>
      <c r="G11" s="18" t="s">
        <v>15</v>
      </c>
      <c r="H11" s="59"/>
      <c r="I11" s="18" t="s">
        <v>26</v>
      </c>
      <c r="J11" s="18"/>
      <c r="K11" s="20" t="s">
        <v>138</v>
      </c>
      <c r="L11" s="18" t="s">
        <v>133</v>
      </c>
      <c r="M11" s="18" t="s">
        <v>15</v>
      </c>
      <c r="N11" s="20" t="s">
        <v>122</v>
      </c>
      <c r="O11" s="20" t="s">
        <v>122</v>
      </c>
      <c r="P11" s="20" t="s">
        <v>122</v>
      </c>
      <c r="Q11" s="20" t="s">
        <v>128</v>
      </c>
      <c r="R11" s="20" t="s">
        <v>122</v>
      </c>
      <c r="S11" s="20" t="s">
        <v>122</v>
      </c>
      <c r="T11" s="20" t="s">
        <v>122</v>
      </c>
      <c r="U11" s="18"/>
      <c r="V11" s="20" t="s">
        <v>123</v>
      </c>
      <c r="W11" s="20" t="s">
        <v>124</v>
      </c>
      <c r="X11" s="20" t="s">
        <v>125</v>
      </c>
      <c r="Y11" s="20" t="s">
        <v>139</v>
      </c>
      <c r="Z11" s="20" t="s">
        <v>122</v>
      </c>
      <c r="AA11" s="20" t="s">
        <v>126</v>
      </c>
      <c r="AB11" s="20" t="s">
        <v>127</v>
      </c>
      <c r="AC11" s="20">
        <f>K11*N11*V11*AR11*0.01/1000</f>
        <v>0</v>
      </c>
      <c r="AD11" s="20">
        <f>K11*O11*W11*AR11*0.01/1000</f>
        <v>0</v>
      </c>
      <c r="AE11" s="20">
        <f>K11*P11*X11*AR11*0.01/1000</f>
        <v>0</v>
      </c>
      <c r="AF11" s="20">
        <f>K11*Q11*Y11*AR11*0.01/1000</f>
        <v>3.4984125000000004E-5</v>
      </c>
      <c r="AG11" s="20">
        <f>K11*R11*Z11*AR11*0.01/1000</f>
        <v>0</v>
      </c>
      <c r="AH11" s="20">
        <f>K11*S11*AA11*AR11*0.01/1000</f>
        <v>0</v>
      </c>
      <c r="AI11" s="20">
        <f>K11*T11*AB11*AR11*0.01/1000</f>
        <v>0</v>
      </c>
      <c r="AJ11" s="25">
        <f>SUM(AC11:AI11)</f>
        <v>3.4984125000000004E-5</v>
      </c>
      <c r="AK11" s="27">
        <f>AJ11/(D3 +SUM('Emission Inventory Scope 2-6'!W4,'Emission Inventory Scope 2-6'!W10))</f>
        <v>2.5194853725768809E-4</v>
      </c>
      <c r="AL11" s="27">
        <f>AJ11/(D3 +'Emission Inventory Scope 2-6'!D2)</f>
        <v>2.5194853725768809E-4</v>
      </c>
      <c r="AM11" s="20" t="s">
        <v>122</v>
      </c>
      <c r="AN11" s="18"/>
      <c r="AO11" s="18" t="s">
        <v>128</v>
      </c>
      <c r="AP11" s="20" t="s">
        <v>135</v>
      </c>
      <c r="AQ11" s="20" t="s">
        <v>136</v>
      </c>
      <c r="AR11" s="20" t="s">
        <v>137</v>
      </c>
    </row>
    <row r="12" spans="1:44">
      <c r="A12" s="10"/>
      <c r="B12" s="59"/>
      <c r="C12" s="51"/>
      <c r="D12" s="51"/>
      <c r="E12" s="51"/>
      <c r="F12" s="59"/>
      <c r="G12" s="18" t="s">
        <v>15</v>
      </c>
      <c r="H12" s="59"/>
      <c r="I12" s="18" t="s">
        <v>27</v>
      </c>
      <c r="J12" s="18"/>
      <c r="K12" s="20" t="s">
        <v>140</v>
      </c>
      <c r="L12" s="18" t="s">
        <v>133</v>
      </c>
      <c r="M12" s="18" t="s">
        <v>15</v>
      </c>
      <c r="N12" s="20" t="s">
        <v>122</v>
      </c>
      <c r="O12" s="20" t="s">
        <v>122</v>
      </c>
      <c r="P12" s="20" t="s">
        <v>122</v>
      </c>
      <c r="Q12" s="20" t="s">
        <v>128</v>
      </c>
      <c r="R12" s="20" t="s">
        <v>122</v>
      </c>
      <c r="S12" s="20" t="s">
        <v>122</v>
      </c>
      <c r="T12" s="20" t="s">
        <v>122</v>
      </c>
      <c r="U12" s="18"/>
      <c r="V12" s="20" t="s">
        <v>123</v>
      </c>
      <c r="W12" s="20" t="s">
        <v>124</v>
      </c>
      <c r="X12" s="20" t="s">
        <v>125</v>
      </c>
      <c r="Y12" s="20" t="s">
        <v>141</v>
      </c>
      <c r="Z12" s="20" t="s">
        <v>122</v>
      </c>
      <c r="AA12" s="20" t="s">
        <v>126</v>
      </c>
      <c r="AB12" s="20" t="s">
        <v>127</v>
      </c>
      <c r="AC12" s="20">
        <f>K12*N12*V12*AR12*0.01/1000</f>
        <v>0</v>
      </c>
      <c r="AD12" s="20">
        <f>K12*O12*W12*AR12*0.01/1000</f>
        <v>0</v>
      </c>
      <c r="AE12" s="20">
        <f>K12*P12*X12*AR12*0.01/1000</f>
        <v>0</v>
      </c>
      <c r="AF12" s="20">
        <f>K12*Q12*Y12*AR12*0.01/1000</f>
        <v>2.8240551625000002E-3</v>
      </c>
      <c r="AG12" s="20">
        <f>K12*R12*Z12*AR12*0.01/1000</f>
        <v>0</v>
      </c>
      <c r="AH12" s="20">
        <f>K12*S12*AA12*AR12*0.01/1000</f>
        <v>0</v>
      </c>
      <c r="AI12" s="20">
        <f>K12*T12*AB12*AR12*0.01/1000</f>
        <v>0</v>
      </c>
      <c r="AJ12" s="25">
        <f>SUM(AC12:AI12)</f>
        <v>2.8240551625000002E-3</v>
      </c>
      <c r="AK12" s="27">
        <f>AJ12/(D3 +SUM('Emission Inventory Scope 2-6'!W4,'Emission Inventory Scope 2-6'!W10))</f>
        <v>2.0338269638783237E-2</v>
      </c>
      <c r="AL12" s="27">
        <f>AJ12/(D3 +'Emission Inventory Scope 2-6'!D2)</f>
        <v>2.0338269638783237E-2</v>
      </c>
      <c r="AM12" s="20" t="s">
        <v>122</v>
      </c>
      <c r="AN12" s="18"/>
      <c r="AO12" s="18" t="s">
        <v>128</v>
      </c>
      <c r="AP12" s="20" t="s">
        <v>135</v>
      </c>
      <c r="AQ12" s="20" t="s">
        <v>136</v>
      </c>
      <c r="AR12" s="20" t="s">
        <v>137</v>
      </c>
    </row>
    <row r="13" spans="1:44">
      <c r="A13" s="10"/>
      <c r="B13" s="59"/>
      <c r="C13" s="51"/>
      <c r="D13" s="51"/>
      <c r="E13" s="51"/>
      <c r="F13" s="59"/>
      <c r="G13" s="18" t="s">
        <v>15</v>
      </c>
      <c r="H13" s="59"/>
      <c r="I13" s="18" t="s">
        <v>28</v>
      </c>
      <c r="J13" s="18"/>
      <c r="K13" s="20" t="s">
        <v>142</v>
      </c>
      <c r="L13" s="18" t="s">
        <v>133</v>
      </c>
      <c r="M13" s="18" t="s">
        <v>15</v>
      </c>
      <c r="N13" s="20" t="s">
        <v>122</v>
      </c>
      <c r="O13" s="20" t="s">
        <v>122</v>
      </c>
      <c r="P13" s="20" t="s">
        <v>122</v>
      </c>
      <c r="Q13" s="20" t="s">
        <v>128</v>
      </c>
      <c r="R13" s="20" t="s">
        <v>122</v>
      </c>
      <c r="S13" s="20" t="s">
        <v>122</v>
      </c>
      <c r="T13" s="20" t="s">
        <v>122</v>
      </c>
      <c r="U13" s="18"/>
      <c r="V13" s="20" t="s">
        <v>123</v>
      </c>
      <c r="W13" s="20" t="s">
        <v>124</v>
      </c>
      <c r="X13" s="20" t="s">
        <v>125</v>
      </c>
      <c r="Y13" s="20" t="s">
        <v>143</v>
      </c>
      <c r="Z13" s="20" t="s">
        <v>122</v>
      </c>
      <c r="AA13" s="20" t="s">
        <v>126</v>
      </c>
      <c r="AB13" s="20" t="s">
        <v>127</v>
      </c>
      <c r="AC13" s="20">
        <f>K13*N13*V13*AR13*0.01/1000</f>
        <v>0</v>
      </c>
      <c r="AD13" s="20">
        <f>K13*O13*W13*AR13*0.01/1000</f>
        <v>0</v>
      </c>
      <c r="AE13" s="20">
        <f>K13*P13*X13*AR13*0.01/1000</f>
        <v>0</v>
      </c>
      <c r="AF13" s="20">
        <f>K13*Q13*Y13*AR13*0.01/1000</f>
        <v>0</v>
      </c>
      <c r="AG13" s="20">
        <f>K13*R13*Z13*AR13*0.01/1000</f>
        <v>0</v>
      </c>
      <c r="AH13" s="20">
        <f>K13*S13*AA13*AR13*0.01/1000</f>
        <v>0</v>
      </c>
      <c r="AI13" s="20">
        <f>K13*T13*AB13*AR13*0.01/1000</f>
        <v>0</v>
      </c>
      <c r="AJ13" s="25">
        <f>SUM(AC13:AI13)</f>
        <v>0</v>
      </c>
      <c r="AK13" s="27">
        <f>AJ13/(D3 +SUM('Emission Inventory Scope 2-6'!W4,'Emission Inventory Scope 2-6'!W10))</f>
        <v>0</v>
      </c>
      <c r="AL13" s="27">
        <f>AJ13/(D3 +'Emission Inventory Scope 2-6'!D2)</f>
        <v>0</v>
      </c>
      <c r="AM13" s="20" t="s">
        <v>122</v>
      </c>
      <c r="AN13" s="18"/>
      <c r="AO13" s="18" t="s">
        <v>128</v>
      </c>
      <c r="AP13" s="20" t="s">
        <v>135</v>
      </c>
      <c r="AQ13" s="20" t="s">
        <v>136</v>
      </c>
      <c r="AR13" s="20" t="s">
        <v>144</v>
      </c>
    </row>
    <row r="14" spans="1:44">
      <c r="A14" s="10"/>
      <c r="B14" s="59"/>
      <c r="C14" s="51"/>
      <c r="D14" s="51"/>
      <c r="E14" s="51"/>
      <c r="F14" s="59"/>
      <c r="G14" s="18" t="s">
        <v>15</v>
      </c>
      <c r="H14" s="59"/>
      <c r="I14" s="18" t="s">
        <v>29</v>
      </c>
      <c r="J14" s="18"/>
      <c r="K14" s="20" t="s">
        <v>145</v>
      </c>
      <c r="L14" s="18" t="s">
        <v>133</v>
      </c>
      <c r="M14" s="18" t="s">
        <v>15</v>
      </c>
      <c r="N14" s="20" t="s">
        <v>122</v>
      </c>
      <c r="O14" s="20" t="s">
        <v>122</v>
      </c>
      <c r="P14" s="20" t="s">
        <v>122</v>
      </c>
      <c r="Q14" s="20" t="s">
        <v>128</v>
      </c>
      <c r="R14" s="20" t="s">
        <v>122</v>
      </c>
      <c r="S14" s="20" t="s">
        <v>122</v>
      </c>
      <c r="T14" s="20" t="s">
        <v>122</v>
      </c>
      <c r="U14" s="18"/>
      <c r="V14" s="20" t="s">
        <v>123</v>
      </c>
      <c r="W14" s="20" t="s">
        <v>124</v>
      </c>
      <c r="X14" s="20" t="s">
        <v>125</v>
      </c>
      <c r="Y14" s="20" t="s">
        <v>146</v>
      </c>
      <c r="Z14" s="20" t="s">
        <v>122</v>
      </c>
      <c r="AA14" s="20" t="s">
        <v>126</v>
      </c>
      <c r="AB14" s="20" t="s">
        <v>127</v>
      </c>
      <c r="AC14" s="20">
        <f>K14*N14*V14*AR14*0.01/1000</f>
        <v>0</v>
      </c>
      <c r="AD14" s="20">
        <f>K14*O14*W14*AR14*0.01/1000</f>
        <v>0</v>
      </c>
      <c r="AE14" s="20">
        <f>K14*P14*X14*AR14*0.01/1000</f>
        <v>0</v>
      </c>
      <c r="AF14" s="20">
        <f>K14*Q14*Y14*AR14*0.01/1000</f>
        <v>0.11385877500000001</v>
      </c>
      <c r="AG14" s="20">
        <f>K14*R14*Z14*AR14*0.01/1000</f>
        <v>0</v>
      </c>
      <c r="AH14" s="20">
        <f>K14*S14*AA14*AR14*0.01/1000</f>
        <v>0</v>
      </c>
      <c r="AI14" s="20">
        <f>K14*T14*AB14*AR14*0.01/1000</f>
        <v>0</v>
      </c>
      <c r="AJ14" s="25">
        <f>SUM(AC14:AI14)</f>
        <v>0.11385877500000001</v>
      </c>
      <c r="AK14" s="27">
        <f>AJ14/(D3 +SUM('Emission Inventory Scope 2-6'!W4,'Emission Inventory Scope 2-6'!W10))</f>
        <v>0.81998768913620745</v>
      </c>
      <c r="AL14" s="27">
        <f>AJ14/(D3 +'Emission Inventory Scope 2-6'!D2)</f>
        <v>0.81998768913620745</v>
      </c>
      <c r="AM14" s="20" t="s">
        <v>122</v>
      </c>
      <c r="AN14" s="18"/>
      <c r="AO14" s="18" t="s">
        <v>128</v>
      </c>
      <c r="AP14" s="20" t="s">
        <v>135</v>
      </c>
      <c r="AQ14" s="20" t="s">
        <v>136</v>
      </c>
      <c r="AR14" s="20" t="s">
        <v>144</v>
      </c>
    </row>
    <row r="15" spans="1:44">
      <c r="A15" s="10"/>
      <c r="B15" s="59"/>
      <c r="C15" s="51"/>
      <c r="D15" s="51"/>
      <c r="E15" s="51"/>
      <c r="F15" s="59"/>
      <c r="G15" s="18" t="s">
        <v>15</v>
      </c>
      <c r="H15" s="59"/>
      <c r="I15" s="18" t="s">
        <v>30</v>
      </c>
      <c r="J15" s="18"/>
      <c r="K15" s="20" t="s">
        <v>121</v>
      </c>
      <c r="L15" s="18"/>
      <c r="M15" s="18" t="s">
        <v>15</v>
      </c>
      <c r="N15" s="20" t="s">
        <v>122</v>
      </c>
      <c r="O15" s="20" t="s">
        <v>122</v>
      </c>
      <c r="P15" s="20" t="s">
        <v>122</v>
      </c>
      <c r="Q15" s="20" t="s">
        <v>122</v>
      </c>
      <c r="R15" s="20" t="s">
        <v>122</v>
      </c>
      <c r="S15" s="20" t="s">
        <v>122</v>
      </c>
      <c r="T15" s="20" t="s">
        <v>122</v>
      </c>
      <c r="U15" s="18"/>
      <c r="V15" s="20" t="s">
        <v>123</v>
      </c>
      <c r="W15" s="20" t="s">
        <v>124</v>
      </c>
      <c r="X15" s="20" t="s">
        <v>125</v>
      </c>
      <c r="Y15" s="20" t="s">
        <v>122</v>
      </c>
      <c r="Z15" s="20" t="s">
        <v>122</v>
      </c>
      <c r="AA15" s="20" t="s">
        <v>126</v>
      </c>
      <c r="AB15" s="20" t="s">
        <v>127</v>
      </c>
      <c r="AC15" s="20">
        <f>K15*N15*V15/1000</f>
        <v>0</v>
      </c>
      <c r="AD15" s="20">
        <f>K15*O15*W15/1000</f>
        <v>0</v>
      </c>
      <c r="AE15" s="20">
        <f>K15*P15*X15/1000</f>
        <v>0</v>
      </c>
      <c r="AF15" s="20">
        <f>K15*Q15*Y15/1000</f>
        <v>0</v>
      </c>
      <c r="AG15" s="20">
        <f>K15*R15*Z15/1000</f>
        <v>0</v>
      </c>
      <c r="AH15" s="20">
        <f>K15*S15*AA15/1000</f>
        <v>0</v>
      </c>
      <c r="AI15" s="20">
        <f>K15*T15*AB15/1000</f>
        <v>0</v>
      </c>
      <c r="AJ15" s="25">
        <f>SUM(AC15:AI15)</f>
        <v>0</v>
      </c>
      <c r="AK15" s="27">
        <f>AJ15/(D3 +SUM('Emission Inventory Scope 2-6'!W4,'Emission Inventory Scope 2-6'!W10))</f>
        <v>0</v>
      </c>
      <c r="AL15" s="27">
        <f>AJ15/(D3 +'Emission Inventory Scope 2-6'!D2)</f>
        <v>0</v>
      </c>
      <c r="AM15" s="20" t="s">
        <v>122</v>
      </c>
      <c r="AN15" s="18"/>
      <c r="AO15" s="18" t="s">
        <v>128</v>
      </c>
      <c r="AP15" s="20" t="s">
        <v>147</v>
      </c>
      <c r="AQ15" s="20" t="s">
        <v>148</v>
      </c>
      <c r="AR15" s="20" t="s">
        <v>1</v>
      </c>
    </row>
    <row r="16" spans="1:44">
      <c r="A16" s="10"/>
      <c r="B16" s="59"/>
      <c r="C16" s="51"/>
      <c r="D16" s="51"/>
      <c r="E16" s="51"/>
      <c r="F16" s="59"/>
      <c r="G16" s="18" t="s">
        <v>15</v>
      </c>
      <c r="H16" s="59"/>
      <c r="I16" s="18" t="s">
        <v>31</v>
      </c>
      <c r="J16" s="18"/>
      <c r="K16" s="20" t="s">
        <v>149</v>
      </c>
      <c r="L16" s="18" t="s">
        <v>133</v>
      </c>
      <c r="M16" s="18" t="s">
        <v>15</v>
      </c>
      <c r="N16" s="20" t="s">
        <v>122</v>
      </c>
      <c r="O16" s="20" t="s">
        <v>122</v>
      </c>
      <c r="P16" s="20" t="s">
        <v>122</v>
      </c>
      <c r="Q16" s="20" t="s">
        <v>128</v>
      </c>
      <c r="R16" s="20" t="s">
        <v>122</v>
      </c>
      <c r="S16" s="20" t="s">
        <v>122</v>
      </c>
      <c r="T16" s="20" t="s">
        <v>122</v>
      </c>
      <c r="U16" s="18"/>
      <c r="V16" s="20" t="s">
        <v>123</v>
      </c>
      <c r="W16" s="20" t="s">
        <v>124</v>
      </c>
      <c r="X16" s="20" t="s">
        <v>125</v>
      </c>
      <c r="Y16" s="20" t="s">
        <v>150</v>
      </c>
      <c r="Z16" s="20" t="s">
        <v>122</v>
      </c>
      <c r="AA16" s="20" t="s">
        <v>126</v>
      </c>
      <c r="AB16" s="20" t="s">
        <v>127</v>
      </c>
      <c r="AC16" s="20">
        <f>K16*N16*V16*AR16*0.01/1000</f>
        <v>0</v>
      </c>
      <c r="AD16" s="20">
        <f>K16*O16*W16*AR16*0.01/1000</f>
        <v>0</v>
      </c>
      <c r="AE16" s="20">
        <f>K16*P16*X16*AR16*0.01/1000</f>
        <v>0</v>
      </c>
      <c r="AF16" s="20">
        <f>K16*Q16*Y16*AR16*0.01/1000</f>
        <v>2.1786624000000004E-2</v>
      </c>
      <c r="AG16" s="20">
        <f>K16*R16*Z16*AR16*0.01/1000</f>
        <v>0</v>
      </c>
      <c r="AH16" s="20">
        <f>K16*S16*AA16*AR16*0.01/1000</f>
        <v>0</v>
      </c>
      <c r="AI16" s="20">
        <f>K16*T16*AB16*AR16*0.01/1000</f>
        <v>0</v>
      </c>
      <c r="AJ16" s="25">
        <f>SUM(AC16:AI16)</f>
        <v>2.1786624000000004E-2</v>
      </c>
      <c r="AK16" s="27">
        <f>AJ16/(D3 +SUM('Emission Inventory Scope 2-6'!W4,'Emission Inventory Scope 2-6'!W10))</f>
        <v>0.15690282516950879</v>
      </c>
      <c r="AL16" s="27">
        <f>AJ16/(D3 +'Emission Inventory Scope 2-6'!D2)</f>
        <v>0.15690282516950879</v>
      </c>
      <c r="AM16" s="20" t="s">
        <v>122</v>
      </c>
      <c r="AN16" s="18"/>
      <c r="AO16" s="18" t="s">
        <v>128</v>
      </c>
      <c r="AP16" s="20" t="s">
        <v>135</v>
      </c>
      <c r="AQ16" s="20" t="s">
        <v>136</v>
      </c>
      <c r="AR16" s="20" t="s">
        <v>151</v>
      </c>
    </row>
    <row r="17" spans="1:44">
      <c r="A17" s="10"/>
      <c r="B17" s="61"/>
      <c r="C17" s="60"/>
      <c r="D17" s="60"/>
      <c r="E17" s="60"/>
      <c r="F17" s="61"/>
      <c r="G17" s="18" t="s">
        <v>15</v>
      </c>
      <c r="H17" s="61"/>
      <c r="I17" s="18" t="s">
        <v>32</v>
      </c>
      <c r="J17" s="18"/>
      <c r="K17" s="20" t="s">
        <v>152</v>
      </c>
      <c r="L17" s="18" t="s">
        <v>133</v>
      </c>
      <c r="M17" s="18" t="s">
        <v>15</v>
      </c>
      <c r="N17" s="20" t="s">
        <v>122</v>
      </c>
      <c r="O17" s="20" t="s">
        <v>122</v>
      </c>
      <c r="P17" s="20" t="s">
        <v>122</v>
      </c>
      <c r="Q17" s="20" t="s">
        <v>128</v>
      </c>
      <c r="R17" s="20" t="s">
        <v>122</v>
      </c>
      <c r="S17" s="20" t="s">
        <v>122</v>
      </c>
      <c r="T17" s="20" t="s">
        <v>122</v>
      </c>
      <c r="U17" s="18"/>
      <c r="V17" s="20" t="s">
        <v>123</v>
      </c>
      <c r="W17" s="20" t="s">
        <v>124</v>
      </c>
      <c r="X17" s="20" t="s">
        <v>125</v>
      </c>
      <c r="Y17" s="20" t="s">
        <v>143</v>
      </c>
      <c r="Z17" s="20" t="s">
        <v>122</v>
      </c>
      <c r="AA17" s="20" t="s">
        <v>126</v>
      </c>
      <c r="AB17" s="20" t="s">
        <v>127</v>
      </c>
      <c r="AC17" s="20">
        <f>K17*N17*V17*AR17*0.01/1000</f>
        <v>0</v>
      </c>
      <c r="AD17" s="20">
        <f>K17*O17*W17*AR17*0.01/1000</f>
        <v>0</v>
      </c>
      <c r="AE17" s="20">
        <f>K17*P17*X17*AR17*0.01/1000</f>
        <v>0</v>
      </c>
      <c r="AF17" s="20">
        <f>K17*Q17*Y17*AR17*0.01/1000</f>
        <v>0</v>
      </c>
      <c r="AG17" s="20">
        <f>K17*R17*Z17*AR17*0.01/1000</f>
        <v>0</v>
      </c>
      <c r="AH17" s="20">
        <f>K17*S17*AA17*AR17*0.01/1000</f>
        <v>0</v>
      </c>
      <c r="AI17" s="20">
        <f>K17*T17*AB17*AR17*0.01/1000</f>
        <v>0</v>
      </c>
      <c r="AJ17" s="25">
        <f>SUM(AC17:AI17)</f>
        <v>0</v>
      </c>
      <c r="AK17" s="27">
        <f>AJ17/(D3 +SUM('Emission Inventory Scope 2-6'!W4,'Emission Inventory Scope 2-6'!W10))</f>
        <v>0</v>
      </c>
      <c r="AL17" s="27">
        <f>AJ17/(D3 +'Emission Inventory Scope 2-6'!D2)</f>
        <v>0</v>
      </c>
      <c r="AM17" s="20" t="s">
        <v>122</v>
      </c>
      <c r="AN17" s="18"/>
      <c r="AO17" s="18" t="s">
        <v>128</v>
      </c>
      <c r="AP17" s="20" t="s">
        <v>135</v>
      </c>
      <c r="AQ17" s="20" t="s">
        <v>136</v>
      </c>
      <c r="AR17" s="20" t="s">
        <v>151</v>
      </c>
    </row>
    <row r="18" spans="1:44">
      <c r="A18" s="10"/>
      <c r="B18" s="21" t="s">
        <v>153</v>
      </c>
      <c r="C18" s="47" t="s">
        <v>33</v>
      </c>
      <c r="D18" s="67"/>
      <c r="E18" s="67"/>
      <c r="F18" s="68"/>
      <c r="G18" s="17" t="s">
        <v>1</v>
      </c>
      <c r="H18" s="17"/>
      <c r="I18" s="17" t="s">
        <v>1</v>
      </c>
      <c r="J18" s="17" t="s">
        <v>1</v>
      </c>
      <c r="K18" s="19" t="s">
        <v>1</v>
      </c>
      <c r="L18" s="17" t="s">
        <v>1</v>
      </c>
      <c r="M18" s="17" t="s">
        <v>1</v>
      </c>
      <c r="N18" s="19" t="s">
        <v>1</v>
      </c>
      <c r="O18" s="19" t="s">
        <v>1</v>
      </c>
      <c r="P18" s="19" t="s">
        <v>1</v>
      </c>
      <c r="Q18" s="19" t="s">
        <v>1</v>
      </c>
      <c r="R18" s="19" t="s">
        <v>1</v>
      </c>
      <c r="S18" s="19" t="s">
        <v>1</v>
      </c>
      <c r="T18" s="19" t="s">
        <v>1</v>
      </c>
      <c r="U18" s="17" t="s">
        <v>1</v>
      </c>
      <c r="V18" s="19" t="s">
        <v>1</v>
      </c>
      <c r="W18" s="19" t="s">
        <v>1</v>
      </c>
      <c r="X18" s="19" t="s">
        <v>1</v>
      </c>
      <c r="Y18" s="19" t="s">
        <v>1</v>
      </c>
      <c r="Z18" s="19" t="s">
        <v>1</v>
      </c>
      <c r="AA18" s="19" t="s">
        <v>1</v>
      </c>
      <c r="AB18" s="19" t="s">
        <v>1</v>
      </c>
      <c r="AC18" s="19" t="s">
        <v>1</v>
      </c>
      <c r="AD18" s="19" t="s">
        <v>1</v>
      </c>
      <c r="AE18" s="19" t="s">
        <v>1</v>
      </c>
      <c r="AF18" s="19" t="s">
        <v>1</v>
      </c>
      <c r="AG18" s="19" t="s">
        <v>1</v>
      </c>
      <c r="AH18" s="19" t="s">
        <v>1</v>
      </c>
      <c r="AI18" s="19" t="s">
        <v>1</v>
      </c>
      <c r="AJ18" s="19" t="s">
        <v>1</v>
      </c>
      <c r="AK18" s="26" t="s">
        <v>1</v>
      </c>
      <c r="AL18" s="26" t="s">
        <v>1</v>
      </c>
      <c r="AM18" s="19" t="s">
        <v>1</v>
      </c>
      <c r="AN18" s="17" t="s">
        <v>1</v>
      </c>
      <c r="AO18" s="17" t="s">
        <v>1</v>
      </c>
      <c r="AP18" s="19" t="s">
        <v>1</v>
      </c>
      <c r="AQ18" s="19" t="s">
        <v>1</v>
      </c>
      <c r="AR18" s="19" t="s">
        <v>1</v>
      </c>
    </row>
  </sheetData>
  <mergeCells count="33">
    <mergeCell ref="C18:F18"/>
    <mergeCell ref="C8:F8"/>
    <mergeCell ref="C9:F9"/>
    <mergeCell ref="B10:B17"/>
    <mergeCell ref="H10:H17"/>
    <mergeCell ref="C10:F17"/>
    <mergeCell ref="AP3:AP4"/>
    <mergeCell ref="AQ3:AQ4"/>
    <mergeCell ref="AR3:AR4"/>
    <mergeCell ref="C5:F5"/>
    <mergeCell ref="B6:B7"/>
    <mergeCell ref="H6:H7"/>
    <mergeCell ref="C6:F7"/>
    <mergeCell ref="AK3:AK4"/>
    <mergeCell ref="AL3:AL4"/>
    <mergeCell ref="AM3:AM4"/>
    <mergeCell ref="AN3:AN4"/>
    <mergeCell ref="AO3:AO4"/>
    <mergeCell ref="U3:U4"/>
    <mergeCell ref="N3:T3"/>
    <mergeCell ref="V3:AB3"/>
    <mergeCell ref="AC3:AI3"/>
    <mergeCell ref="AJ3:AJ4"/>
    <mergeCell ref="I3:I4"/>
    <mergeCell ref="J3:J4"/>
    <mergeCell ref="K3:K4"/>
    <mergeCell ref="L3:L4"/>
    <mergeCell ref="M3:M4"/>
    <mergeCell ref="B3:C4"/>
    <mergeCell ref="D3:E4"/>
    <mergeCell ref="F3:F4"/>
    <mergeCell ref="G3:G4"/>
    <mergeCell ref="H3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"/>
  <sheetViews>
    <sheetView workbookViewId="0"/>
  </sheetViews>
  <sheetFormatPr defaultRowHeight="15"/>
  <cols>
    <col min="1" max="1" width="9" customWidth="1"/>
    <col min="2" max="2" width="20" customWidth="1"/>
    <col min="3" max="4" width="19" customWidth="1"/>
    <col min="5" max="5" width="20" customWidth="1"/>
    <col min="6" max="6" width="30" customWidth="1"/>
    <col min="7" max="7" width="5" customWidth="1"/>
    <col min="8" max="8" width="50" customWidth="1"/>
    <col min="9" max="9" width="17" customWidth="1"/>
    <col min="10" max="14" width="22" customWidth="1"/>
    <col min="15" max="15" width="15" customWidth="1"/>
    <col min="16" max="16" width="13" customWidth="1"/>
    <col min="17" max="17" width="35" customWidth="1"/>
    <col min="18" max="18" width="17" customWidth="1"/>
    <col min="19" max="19" width="24" customWidth="1"/>
    <col min="20" max="20" width="15" customWidth="1"/>
    <col min="21" max="21" width="60" customWidth="1"/>
    <col min="22" max="23" width="22" customWidth="1"/>
    <col min="24" max="24" width="28" customWidth="1"/>
    <col min="25" max="25" width="19" customWidth="1"/>
    <col min="26" max="26" width="18" customWidth="1"/>
  </cols>
  <sheetData>
    <row r="1" spans="1:26">
      <c r="J1" s="7" t="s">
        <v>154</v>
      </c>
      <c r="K1" s="7" t="s">
        <v>155</v>
      </c>
      <c r="L1" s="7" t="s">
        <v>156</v>
      </c>
      <c r="M1" s="7" t="s">
        <v>157</v>
      </c>
      <c r="N1" s="7" t="s">
        <v>158</v>
      </c>
    </row>
    <row r="2" spans="1:26">
      <c r="B2" s="48" t="s">
        <v>159</v>
      </c>
      <c r="C2" s="67"/>
      <c r="D2" s="49">
        <f>SUM(W4,W10,W12,W13,W14,W15,W16,W18,W19,W20,W21,W22,W24,W25,W26,W27,W29)</f>
        <v>0</v>
      </c>
      <c r="E2" s="67"/>
      <c r="F2" s="15" t="s">
        <v>98</v>
      </c>
      <c r="G2" s="48" t="s">
        <v>160</v>
      </c>
      <c r="H2" s="68"/>
      <c r="I2" s="15" t="s">
        <v>161</v>
      </c>
      <c r="J2" s="15" t="s">
        <v>162</v>
      </c>
      <c r="K2" s="15" t="s">
        <v>163</v>
      </c>
      <c r="L2" s="15" t="s">
        <v>164</v>
      </c>
      <c r="M2" s="15" t="s">
        <v>165</v>
      </c>
      <c r="N2" s="15"/>
      <c r="O2" s="15" t="s">
        <v>166</v>
      </c>
      <c r="P2" s="16" t="s">
        <v>167</v>
      </c>
      <c r="Q2" s="15" t="s">
        <v>103</v>
      </c>
      <c r="R2" s="15" t="s">
        <v>104</v>
      </c>
      <c r="S2" s="15" t="s">
        <v>105</v>
      </c>
      <c r="T2" s="15" t="s">
        <v>106</v>
      </c>
      <c r="U2" s="15" t="s">
        <v>9</v>
      </c>
      <c r="V2" s="15" t="s">
        <v>168</v>
      </c>
      <c r="W2" s="16" t="s">
        <v>109</v>
      </c>
      <c r="X2" s="15" t="s">
        <v>112</v>
      </c>
      <c r="Y2" s="15" t="s">
        <v>113</v>
      </c>
      <c r="Z2" s="15" t="s">
        <v>114</v>
      </c>
    </row>
    <row r="3" spans="1:26">
      <c r="B3" s="6" t="s">
        <v>169</v>
      </c>
      <c r="C3" s="64" t="s">
        <v>170</v>
      </c>
      <c r="D3" s="51"/>
      <c r="E3" s="51"/>
      <c r="F3" s="5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0"/>
      <c r="B4" s="44" t="s">
        <v>171</v>
      </c>
      <c r="C4" s="46" t="s">
        <v>36</v>
      </c>
      <c r="D4" s="65"/>
      <c r="E4" s="65"/>
      <c r="F4" s="66"/>
      <c r="G4" s="17" t="s">
        <v>120</v>
      </c>
      <c r="H4" s="17" t="s">
        <v>38</v>
      </c>
      <c r="I4" s="17"/>
      <c r="J4" s="17"/>
      <c r="K4" s="17"/>
      <c r="L4" s="17"/>
      <c r="M4" s="17"/>
      <c r="N4" s="17"/>
      <c r="O4" s="17" t="s">
        <v>122</v>
      </c>
      <c r="P4" s="17"/>
      <c r="Q4" s="19" t="s">
        <v>121</v>
      </c>
      <c r="R4" s="17"/>
      <c r="S4" s="17" t="s">
        <v>15</v>
      </c>
      <c r="T4" s="19" t="s">
        <v>122</v>
      </c>
      <c r="U4" s="17"/>
      <c r="V4" s="19">
        <f>Q4*T4/1000</f>
        <v>0</v>
      </c>
      <c r="W4" s="50">
        <f>SUM(V4:V9)</f>
        <v>0</v>
      </c>
      <c r="X4" s="19" t="s">
        <v>122</v>
      </c>
      <c r="Y4" s="17"/>
      <c r="Z4" s="19" t="s">
        <v>1</v>
      </c>
    </row>
    <row r="5" spans="1:26">
      <c r="A5" s="10"/>
      <c r="B5" s="59"/>
      <c r="C5" s="51"/>
      <c r="D5" s="51"/>
      <c r="E5" s="51"/>
      <c r="F5" s="59"/>
      <c r="G5" s="18" t="s">
        <v>120</v>
      </c>
      <c r="H5" s="18" t="s">
        <v>39</v>
      </c>
      <c r="I5" s="18"/>
      <c r="J5" s="18"/>
      <c r="K5" s="18"/>
      <c r="L5" s="18"/>
      <c r="M5" s="18"/>
      <c r="N5" s="18"/>
      <c r="O5" s="18" t="s">
        <v>122</v>
      </c>
      <c r="P5" s="18"/>
      <c r="Q5" s="20" t="s">
        <v>121</v>
      </c>
      <c r="R5" s="18"/>
      <c r="S5" s="18" t="s">
        <v>15</v>
      </c>
      <c r="T5" s="20" t="s">
        <v>122</v>
      </c>
      <c r="U5" s="18"/>
      <c r="V5" s="20">
        <f>Q5*T5/1000</f>
        <v>0</v>
      </c>
      <c r="W5" s="61"/>
      <c r="X5" s="20" t="s">
        <v>122</v>
      </c>
      <c r="Y5" s="18"/>
      <c r="Z5" s="20" t="s">
        <v>1</v>
      </c>
    </row>
    <row r="6" spans="1:26">
      <c r="A6" s="10"/>
      <c r="B6" s="59"/>
      <c r="C6" s="51"/>
      <c r="D6" s="51"/>
      <c r="E6" s="51"/>
      <c r="F6" s="59"/>
      <c r="G6" s="18" t="s">
        <v>120</v>
      </c>
      <c r="H6" s="18" t="s">
        <v>40</v>
      </c>
      <c r="I6" s="18"/>
      <c r="J6" s="18"/>
      <c r="K6" s="18"/>
      <c r="L6" s="18"/>
      <c r="M6" s="18"/>
      <c r="N6" s="18"/>
      <c r="O6" s="18" t="s">
        <v>122</v>
      </c>
      <c r="P6" s="18"/>
      <c r="Q6" s="20" t="s">
        <v>121</v>
      </c>
      <c r="R6" s="18"/>
      <c r="S6" s="18" t="s">
        <v>15</v>
      </c>
      <c r="T6" s="20" t="s">
        <v>122</v>
      </c>
      <c r="U6" s="18"/>
      <c r="V6" s="20">
        <f>Q6*T6/1000</f>
        <v>0</v>
      </c>
      <c r="W6" s="61"/>
      <c r="X6" s="20" t="s">
        <v>122</v>
      </c>
      <c r="Y6" s="18"/>
      <c r="Z6" s="20" t="s">
        <v>1</v>
      </c>
    </row>
    <row r="7" spans="1:26">
      <c r="A7" s="10"/>
      <c r="B7" s="59"/>
      <c r="C7" s="51"/>
      <c r="D7" s="51"/>
      <c r="E7" s="51"/>
      <c r="F7" s="59"/>
      <c r="G7" s="18" t="s">
        <v>120</v>
      </c>
      <c r="H7" s="18" t="s">
        <v>41</v>
      </c>
      <c r="I7" s="18"/>
      <c r="J7" s="18"/>
      <c r="K7" s="18"/>
      <c r="L7" s="18"/>
      <c r="M7" s="18"/>
      <c r="N7" s="18"/>
      <c r="O7" s="18" t="s">
        <v>122</v>
      </c>
      <c r="P7" s="18"/>
      <c r="Q7" s="20" t="s">
        <v>121</v>
      </c>
      <c r="R7" s="18"/>
      <c r="S7" s="18" t="s">
        <v>15</v>
      </c>
      <c r="T7" s="20" t="s">
        <v>122</v>
      </c>
      <c r="U7" s="18"/>
      <c r="V7" s="20">
        <f>Q7*T7/1000</f>
        <v>0</v>
      </c>
      <c r="W7" s="61"/>
      <c r="X7" s="20" t="s">
        <v>122</v>
      </c>
      <c r="Y7" s="18"/>
      <c r="Z7" s="20" t="s">
        <v>1</v>
      </c>
    </row>
    <row r="8" spans="1:26">
      <c r="A8" s="10"/>
      <c r="B8" s="59"/>
      <c r="C8" s="51"/>
      <c r="D8" s="51"/>
      <c r="E8" s="51"/>
      <c r="F8" s="59"/>
      <c r="G8" s="18" t="s">
        <v>120</v>
      </c>
      <c r="H8" s="18" t="s">
        <v>42</v>
      </c>
      <c r="I8" s="18"/>
      <c r="J8" s="18"/>
      <c r="K8" s="18"/>
      <c r="L8" s="18"/>
      <c r="M8" s="18"/>
      <c r="N8" s="18"/>
      <c r="O8" s="18" t="s">
        <v>122</v>
      </c>
      <c r="P8" s="18"/>
      <c r="Q8" s="20" t="s">
        <v>121</v>
      </c>
      <c r="R8" s="18"/>
      <c r="S8" s="18" t="s">
        <v>15</v>
      </c>
      <c r="T8" s="20" t="s">
        <v>122</v>
      </c>
      <c r="U8" s="18"/>
      <c r="V8" s="20">
        <f>Q8*T8/1000</f>
        <v>0</v>
      </c>
      <c r="W8" s="61"/>
      <c r="X8" s="20" t="s">
        <v>122</v>
      </c>
      <c r="Y8" s="18"/>
      <c r="Z8" s="20" t="s">
        <v>1</v>
      </c>
    </row>
    <row r="9" spans="1:26">
      <c r="A9" s="10"/>
      <c r="B9" s="61"/>
      <c r="C9" s="60"/>
      <c r="D9" s="60"/>
      <c r="E9" s="60"/>
      <c r="F9" s="61"/>
      <c r="G9" s="18" t="s">
        <v>120</v>
      </c>
      <c r="H9" s="18" t="s">
        <v>43</v>
      </c>
      <c r="I9" s="18"/>
      <c r="J9" s="18"/>
      <c r="K9" s="18"/>
      <c r="L9" s="18"/>
      <c r="M9" s="18"/>
      <c r="N9" s="18"/>
      <c r="O9" s="18" t="s">
        <v>122</v>
      </c>
      <c r="P9" s="18"/>
      <c r="Q9" s="20" t="s">
        <v>121</v>
      </c>
      <c r="R9" s="18"/>
      <c r="S9" s="18" t="s">
        <v>15</v>
      </c>
      <c r="T9" s="20" t="s">
        <v>122</v>
      </c>
      <c r="U9" s="18"/>
      <c r="V9" s="20">
        <f>Q9*T9/1000</f>
        <v>0</v>
      </c>
      <c r="W9" s="61"/>
      <c r="X9" s="20" t="s">
        <v>122</v>
      </c>
      <c r="Y9" s="18"/>
      <c r="Z9" s="20" t="s">
        <v>1</v>
      </c>
    </row>
    <row r="10" spans="1:26">
      <c r="A10" s="10"/>
      <c r="B10" s="21" t="s">
        <v>172</v>
      </c>
      <c r="C10" s="47" t="s">
        <v>44</v>
      </c>
      <c r="D10" s="67"/>
      <c r="E10" s="67"/>
      <c r="F10" s="68"/>
      <c r="G10" s="17" t="s">
        <v>173</v>
      </c>
      <c r="H10" s="17" t="s">
        <v>1</v>
      </c>
      <c r="I10" s="17" t="s">
        <v>174</v>
      </c>
      <c r="J10" s="17" t="s">
        <v>1</v>
      </c>
      <c r="K10" s="17" t="s">
        <v>1</v>
      </c>
      <c r="L10" s="17" t="s">
        <v>1</v>
      </c>
      <c r="M10" s="17" t="s">
        <v>1</v>
      </c>
      <c r="N10" s="17" t="s">
        <v>1</v>
      </c>
      <c r="O10" s="17" t="s">
        <v>1</v>
      </c>
      <c r="P10" s="17" t="s">
        <v>1</v>
      </c>
      <c r="Q10" s="19" t="s">
        <v>1</v>
      </c>
      <c r="R10" s="17" t="s">
        <v>1</v>
      </c>
      <c r="S10" s="17" t="s">
        <v>1</v>
      </c>
      <c r="T10" s="19" t="s">
        <v>1</v>
      </c>
      <c r="U10" s="17" t="s">
        <v>1</v>
      </c>
      <c r="V10" s="19" t="s">
        <v>1</v>
      </c>
      <c r="W10" s="19" t="s">
        <v>1</v>
      </c>
      <c r="X10" s="19" t="s">
        <v>1</v>
      </c>
      <c r="Y10" s="17" t="s">
        <v>1</v>
      </c>
      <c r="Z10" s="19" t="s">
        <v>1</v>
      </c>
    </row>
    <row r="11" spans="1:26">
      <c r="B11" s="6" t="s">
        <v>175</v>
      </c>
      <c r="C11" s="64" t="s">
        <v>176</v>
      </c>
      <c r="D11" s="51"/>
      <c r="E11" s="51"/>
      <c r="F11" s="51"/>
    </row>
    <row r="12" spans="1:26">
      <c r="A12" s="10"/>
      <c r="B12" s="21" t="s">
        <v>177</v>
      </c>
      <c r="C12" s="47" t="s">
        <v>47</v>
      </c>
      <c r="D12" s="67"/>
      <c r="E12" s="67"/>
      <c r="F12" s="68"/>
      <c r="G12" s="17" t="s">
        <v>173</v>
      </c>
      <c r="H12" s="17" t="s">
        <v>1</v>
      </c>
      <c r="I12" s="17" t="s">
        <v>174</v>
      </c>
      <c r="J12" s="17" t="s">
        <v>1</v>
      </c>
      <c r="K12" s="17" t="s">
        <v>1</v>
      </c>
      <c r="L12" s="17" t="s">
        <v>1</v>
      </c>
      <c r="M12" s="17" t="s">
        <v>1</v>
      </c>
      <c r="N12" s="17" t="s">
        <v>1</v>
      </c>
      <c r="O12" s="17" t="s">
        <v>1</v>
      </c>
      <c r="P12" s="17" t="s">
        <v>1</v>
      </c>
      <c r="Q12" s="19" t="s">
        <v>1</v>
      </c>
      <c r="R12" s="17" t="s">
        <v>1</v>
      </c>
      <c r="S12" s="17" t="s">
        <v>1</v>
      </c>
      <c r="T12" s="19" t="s">
        <v>1</v>
      </c>
      <c r="U12" s="17" t="s">
        <v>1</v>
      </c>
      <c r="V12" s="19" t="s">
        <v>1</v>
      </c>
      <c r="W12" s="19" t="s">
        <v>1</v>
      </c>
      <c r="X12" s="19" t="s">
        <v>1</v>
      </c>
      <c r="Y12" s="17" t="s">
        <v>1</v>
      </c>
      <c r="Z12" s="19" t="s">
        <v>1</v>
      </c>
    </row>
    <row r="13" spans="1:26">
      <c r="A13" s="10"/>
      <c r="B13" s="21" t="s">
        <v>178</v>
      </c>
      <c r="C13" s="47" t="s">
        <v>49</v>
      </c>
      <c r="D13" s="67"/>
      <c r="E13" s="67"/>
      <c r="F13" s="68"/>
      <c r="G13" s="17" t="s">
        <v>173</v>
      </c>
      <c r="H13" s="17" t="s">
        <v>1</v>
      </c>
      <c r="I13" s="17" t="s">
        <v>174</v>
      </c>
      <c r="J13" s="17" t="s">
        <v>1</v>
      </c>
      <c r="K13" s="17" t="s">
        <v>1</v>
      </c>
      <c r="L13" s="17" t="s">
        <v>1</v>
      </c>
      <c r="M13" s="17" t="s">
        <v>1</v>
      </c>
      <c r="N13" s="17" t="s">
        <v>1</v>
      </c>
      <c r="O13" s="17" t="s">
        <v>1</v>
      </c>
      <c r="P13" s="17" t="s">
        <v>1</v>
      </c>
      <c r="Q13" s="19" t="s">
        <v>1</v>
      </c>
      <c r="R13" s="17" t="s">
        <v>1</v>
      </c>
      <c r="S13" s="17" t="s">
        <v>1</v>
      </c>
      <c r="T13" s="19" t="s">
        <v>1</v>
      </c>
      <c r="U13" s="17" t="s">
        <v>1</v>
      </c>
      <c r="V13" s="19" t="s">
        <v>1</v>
      </c>
      <c r="W13" s="19" t="s">
        <v>1</v>
      </c>
      <c r="X13" s="19" t="s">
        <v>1</v>
      </c>
      <c r="Y13" s="17" t="s">
        <v>1</v>
      </c>
      <c r="Z13" s="19" t="s">
        <v>1</v>
      </c>
    </row>
    <row r="14" spans="1:26">
      <c r="A14" s="10"/>
      <c r="B14" s="21" t="s">
        <v>179</v>
      </c>
      <c r="C14" s="47" t="s">
        <v>51</v>
      </c>
      <c r="D14" s="67"/>
      <c r="E14" s="67"/>
      <c r="F14" s="68"/>
      <c r="G14" s="17" t="s">
        <v>173</v>
      </c>
      <c r="H14" s="17" t="s">
        <v>1</v>
      </c>
      <c r="I14" s="17" t="s">
        <v>174</v>
      </c>
      <c r="J14" s="17" t="s">
        <v>1</v>
      </c>
      <c r="K14" s="17" t="s">
        <v>1</v>
      </c>
      <c r="L14" s="17" t="s">
        <v>1</v>
      </c>
      <c r="M14" s="17" t="s">
        <v>1</v>
      </c>
      <c r="N14" s="17" t="s">
        <v>1</v>
      </c>
      <c r="O14" s="17" t="s">
        <v>1</v>
      </c>
      <c r="P14" s="17" t="s">
        <v>1</v>
      </c>
      <c r="Q14" s="19" t="s">
        <v>1</v>
      </c>
      <c r="R14" s="17" t="s">
        <v>1</v>
      </c>
      <c r="S14" s="17" t="s">
        <v>1</v>
      </c>
      <c r="T14" s="19" t="s">
        <v>1</v>
      </c>
      <c r="U14" s="17" t="s">
        <v>1</v>
      </c>
      <c r="V14" s="19" t="s">
        <v>1</v>
      </c>
      <c r="W14" s="19" t="s">
        <v>1</v>
      </c>
      <c r="X14" s="19" t="s">
        <v>1</v>
      </c>
      <c r="Y14" s="17" t="s">
        <v>1</v>
      </c>
      <c r="Z14" s="19" t="s">
        <v>1</v>
      </c>
    </row>
    <row r="15" spans="1:26">
      <c r="A15" s="10"/>
      <c r="B15" s="21" t="s">
        <v>180</v>
      </c>
      <c r="C15" s="47" t="s">
        <v>53</v>
      </c>
      <c r="D15" s="67"/>
      <c r="E15" s="67"/>
      <c r="F15" s="68"/>
      <c r="G15" s="17" t="s">
        <v>173</v>
      </c>
      <c r="H15" s="17" t="s">
        <v>1</v>
      </c>
      <c r="I15" s="17" t="s">
        <v>174</v>
      </c>
      <c r="J15" s="17" t="s">
        <v>1</v>
      </c>
      <c r="K15" s="17" t="s">
        <v>1</v>
      </c>
      <c r="L15" s="17" t="s">
        <v>1</v>
      </c>
      <c r="M15" s="17" t="s">
        <v>1</v>
      </c>
      <c r="N15" s="17" t="s">
        <v>1</v>
      </c>
      <c r="O15" s="17" t="s">
        <v>1</v>
      </c>
      <c r="P15" s="17" t="s">
        <v>1</v>
      </c>
      <c r="Q15" s="19" t="s">
        <v>1</v>
      </c>
      <c r="R15" s="17" t="s">
        <v>1</v>
      </c>
      <c r="S15" s="17" t="s">
        <v>1</v>
      </c>
      <c r="T15" s="19" t="s">
        <v>1</v>
      </c>
      <c r="U15" s="17" t="s">
        <v>1</v>
      </c>
      <c r="V15" s="19" t="s">
        <v>1</v>
      </c>
      <c r="W15" s="19" t="s">
        <v>1</v>
      </c>
      <c r="X15" s="19" t="s">
        <v>1</v>
      </c>
      <c r="Y15" s="17" t="s">
        <v>1</v>
      </c>
      <c r="Z15" s="19" t="s">
        <v>1</v>
      </c>
    </row>
    <row r="16" spans="1:26">
      <c r="A16" s="10"/>
      <c r="B16" s="21" t="s">
        <v>181</v>
      </c>
      <c r="C16" s="47" t="s">
        <v>55</v>
      </c>
      <c r="D16" s="67"/>
      <c r="E16" s="67"/>
      <c r="F16" s="68"/>
      <c r="G16" s="17" t="s">
        <v>173</v>
      </c>
      <c r="H16" s="17" t="s">
        <v>1</v>
      </c>
      <c r="I16" s="17" t="s">
        <v>174</v>
      </c>
      <c r="J16" s="17" t="s">
        <v>1</v>
      </c>
      <c r="K16" s="17" t="s">
        <v>1</v>
      </c>
      <c r="L16" s="17" t="s">
        <v>1</v>
      </c>
      <c r="M16" s="17" t="s">
        <v>1</v>
      </c>
      <c r="N16" s="17" t="s">
        <v>1</v>
      </c>
      <c r="O16" s="17" t="s">
        <v>1</v>
      </c>
      <c r="P16" s="17" t="s">
        <v>1</v>
      </c>
      <c r="Q16" s="19" t="s">
        <v>1</v>
      </c>
      <c r="R16" s="17" t="s">
        <v>1</v>
      </c>
      <c r="S16" s="17" t="s">
        <v>1</v>
      </c>
      <c r="T16" s="19" t="s">
        <v>1</v>
      </c>
      <c r="U16" s="17" t="s">
        <v>1</v>
      </c>
      <c r="V16" s="19" t="s">
        <v>1</v>
      </c>
      <c r="W16" s="19" t="s">
        <v>1</v>
      </c>
      <c r="X16" s="19" t="s">
        <v>1</v>
      </c>
      <c r="Y16" s="17" t="s">
        <v>1</v>
      </c>
      <c r="Z16" s="19" t="s">
        <v>1</v>
      </c>
    </row>
    <row r="17" spans="1:26">
      <c r="B17" s="6" t="s">
        <v>182</v>
      </c>
      <c r="C17" s="64" t="s">
        <v>183</v>
      </c>
      <c r="D17" s="51"/>
      <c r="E17" s="51"/>
      <c r="F17" s="51"/>
    </row>
    <row r="18" spans="1:26">
      <c r="A18" s="10"/>
      <c r="B18" s="21" t="s">
        <v>184</v>
      </c>
      <c r="C18" s="47" t="s">
        <v>69</v>
      </c>
      <c r="D18" s="67"/>
      <c r="E18" s="67"/>
      <c r="F18" s="68"/>
      <c r="G18" s="17" t="s">
        <v>173</v>
      </c>
      <c r="H18" s="17" t="s">
        <v>1</v>
      </c>
      <c r="I18" s="17" t="s">
        <v>174</v>
      </c>
      <c r="J18" s="17" t="s">
        <v>1</v>
      </c>
      <c r="K18" s="17" t="s">
        <v>1</v>
      </c>
      <c r="L18" s="17" t="s">
        <v>1</v>
      </c>
      <c r="M18" s="17" t="s">
        <v>1</v>
      </c>
      <c r="N18" s="17" t="s">
        <v>1</v>
      </c>
      <c r="O18" s="17" t="s">
        <v>1</v>
      </c>
      <c r="P18" s="17" t="s">
        <v>1</v>
      </c>
      <c r="Q18" s="19" t="s">
        <v>1</v>
      </c>
      <c r="R18" s="17" t="s">
        <v>1</v>
      </c>
      <c r="S18" s="17" t="s">
        <v>1</v>
      </c>
      <c r="T18" s="19" t="s">
        <v>1</v>
      </c>
      <c r="U18" s="17" t="s">
        <v>1</v>
      </c>
      <c r="V18" s="19" t="s">
        <v>1</v>
      </c>
      <c r="W18" s="19" t="s">
        <v>1</v>
      </c>
      <c r="X18" s="19" t="s">
        <v>1</v>
      </c>
      <c r="Y18" s="17" t="s">
        <v>1</v>
      </c>
      <c r="Z18" s="19" t="s">
        <v>1</v>
      </c>
    </row>
    <row r="19" spans="1:26">
      <c r="A19" s="10"/>
      <c r="B19" s="21" t="s">
        <v>185</v>
      </c>
      <c r="C19" s="47" t="s">
        <v>60</v>
      </c>
      <c r="D19" s="67"/>
      <c r="E19" s="67"/>
      <c r="F19" s="68"/>
      <c r="G19" s="17" t="s">
        <v>173</v>
      </c>
      <c r="H19" s="17" t="s">
        <v>1</v>
      </c>
      <c r="I19" s="17" t="s">
        <v>174</v>
      </c>
      <c r="J19" s="17" t="s">
        <v>1</v>
      </c>
      <c r="K19" s="17" t="s">
        <v>1</v>
      </c>
      <c r="L19" s="17" t="s">
        <v>1</v>
      </c>
      <c r="M19" s="17" t="s">
        <v>1</v>
      </c>
      <c r="N19" s="17" t="s">
        <v>1</v>
      </c>
      <c r="O19" s="17" t="s">
        <v>1</v>
      </c>
      <c r="P19" s="17" t="s">
        <v>1</v>
      </c>
      <c r="Q19" s="19" t="s">
        <v>1</v>
      </c>
      <c r="R19" s="17" t="s">
        <v>1</v>
      </c>
      <c r="S19" s="17" t="s">
        <v>1</v>
      </c>
      <c r="T19" s="19" t="s">
        <v>1</v>
      </c>
      <c r="U19" s="17" t="s">
        <v>1</v>
      </c>
      <c r="V19" s="19" t="s">
        <v>1</v>
      </c>
      <c r="W19" s="19" t="s">
        <v>1</v>
      </c>
      <c r="X19" s="19" t="s">
        <v>1</v>
      </c>
      <c r="Y19" s="17" t="s">
        <v>1</v>
      </c>
      <c r="Z19" s="19" t="s">
        <v>1</v>
      </c>
    </row>
    <row r="20" spans="1:26">
      <c r="A20" s="10"/>
      <c r="B20" s="21" t="s">
        <v>186</v>
      </c>
      <c r="C20" s="47" t="s">
        <v>62</v>
      </c>
      <c r="D20" s="67"/>
      <c r="E20" s="67"/>
      <c r="F20" s="68"/>
      <c r="G20" s="17" t="s">
        <v>173</v>
      </c>
      <c r="H20" s="17" t="s">
        <v>1</v>
      </c>
      <c r="I20" s="17" t="s">
        <v>174</v>
      </c>
      <c r="J20" s="17" t="s">
        <v>1</v>
      </c>
      <c r="K20" s="17" t="s">
        <v>1</v>
      </c>
      <c r="L20" s="17" t="s">
        <v>1</v>
      </c>
      <c r="M20" s="17" t="s">
        <v>1</v>
      </c>
      <c r="N20" s="17" t="s">
        <v>1</v>
      </c>
      <c r="O20" s="17" t="s">
        <v>1</v>
      </c>
      <c r="P20" s="17" t="s">
        <v>1</v>
      </c>
      <c r="Q20" s="19" t="s">
        <v>1</v>
      </c>
      <c r="R20" s="17" t="s">
        <v>1</v>
      </c>
      <c r="S20" s="17" t="s">
        <v>1</v>
      </c>
      <c r="T20" s="19" t="s">
        <v>1</v>
      </c>
      <c r="U20" s="17" t="s">
        <v>1</v>
      </c>
      <c r="V20" s="19" t="s">
        <v>1</v>
      </c>
      <c r="W20" s="19" t="s">
        <v>1</v>
      </c>
      <c r="X20" s="19" t="s">
        <v>1</v>
      </c>
      <c r="Y20" s="17" t="s">
        <v>1</v>
      </c>
      <c r="Z20" s="19" t="s">
        <v>1</v>
      </c>
    </row>
    <row r="21" spans="1:26">
      <c r="A21" s="10"/>
      <c r="B21" s="21" t="s">
        <v>187</v>
      </c>
      <c r="C21" s="47" t="s">
        <v>64</v>
      </c>
      <c r="D21" s="67"/>
      <c r="E21" s="67"/>
      <c r="F21" s="68"/>
      <c r="G21" s="17" t="s">
        <v>173</v>
      </c>
      <c r="H21" s="17" t="s">
        <v>1</v>
      </c>
      <c r="I21" s="17" t="s">
        <v>174</v>
      </c>
      <c r="J21" s="17" t="s">
        <v>1</v>
      </c>
      <c r="K21" s="17" t="s">
        <v>1</v>
      </c>
      <c r="L21" s="17" t="s">
        <v>1</v>
      </c>
      <c r="M21" s="17" t="s">
        <v>1</v>
      </c>
      <c r="N21" s="17" t="s">
        <v>1</v>
      </c>
      <c r="O21" s="17" t="s">
        <v>1</v>
      </c>
      <c r="P21" s="17" t="s">
        <v>1</v>
      </c>
      <c r="Q21" s="19" t="s">
        <v>1</v>
      </c>
      <c r="R21" s="17" t="s">
        <v>1</v>
      </c>
      <c r="S21" s="17" t="s">
        <v>1</v>
      </c>
      <c r="T21" s="19" t="s">
        <v>1</v>
      </c>
      <c r="U21" s="17" t="s">
        <v>1</v>
      </c>
      <c r="V21" s="19" t="s">
        <v>1</v>
      </c>
      <c r="W21" s="19" t="s">
        <v>1</v>
      </c>
      <c r="X21" s="19" t="s">
        <v>1</v>
      </c>
      <c r="Y21" s="17" t="s">
        <v>1</v>
      </c>
      <c r="Z21" s="19" t="s">
        <v>1</v>
      </c>
    </row>
    <row r="22" spans="1:26">
      <c r="A22" s="10"/>
      <c r="B22" s="21" t="s">
        <v>188</v>
      </c>
      <c r="C22" s="47" t="s">
        <v>66</v>
      </c>
      <c r="D22" s="67"/>
      <c r="E22" s="67"/>
      <c r="F22" s="68"/>
      <c r="G22" s="17" t="s">
        <v>173</v>
      </c>
      <c r="H22" s="17" t="s">
        <v>1</v>
      </c>
      <c r="I22" s="17" t="s">
        <v>174</v>
      </c>
      <c r="J22" s="17" t="s">
        <v>1</v>
      </c>
      <c r="K22" s="17" t="s">
        <v>1</v>
      </c>
      <c r="L22" s="17" t="s">
        <v>1</v>
      </c>
      <c r="M22" s="17" t="s">
        <v>1</v>
      </c>
      <c r="N22" s="17" t="s">
        <v>1</v>
      </c>
      <c r="O22" s="17" t="s">
        <v>1</v>
      </c>
      <c r="P22" s="17" t="s">
        <v>1</v>
      </c>
      <c r="Q22" s="19" t="s">
        <v>1</v>
      </c>
      <c r="R22" s="17" t="s">
        <v>1</v>
      </c>
      <c r="S22" s="17" t="s">
        <v>1</v>
      </c>
      <c r="T22" s="19" t="s">
        <v>1</v>
      </c>
      <c r="U22" s="17" t="s">
        <v>1</v>
      </c>
      <c r="V22" s="19" t="s">
        <v>1</v>
      </c>
      <c r="W22" s="19" t="s">
        <v>1</v>
      </c>
      <c r="X22" s="19" t="s">
        <v>1</v>
      </c>
      <c r="Y22" s="17" t="s">
        <v>1</v>
      </c>
      <c r="Z22" s="19" t="s">
        <v>1</v>
      </c>
    </row>
    <row r="23" spans="1:26">
      <c r="B23" s="6" t="s">
        <v>189</v>
      </c>
      <c r="C23" s="64" t="s">
        <v>190</v>
      </c>
      <c r="D23" s="51"/>
      <c r="E23" s="51"/>
      <c r="F23" s="51"/>
    </row>
    <row r="24" spans="1:26">
      <c r="A24" s="10"/>
      <c r="B24" s="21" t="s">
        <v>191</v>
      </c>
      <c r="C24" s="47" t="s">
        <v>58</v>
      </c>
      <c r="D24" s="67"/>
      <c r="E24" s="67"/>
      <c r="F24" s="68"/>
      <c r="G24" s="17" t="s">
        <v>173</v>
      </c>
      <c r="H24" s="17" t="s">
        <v>1</v>
      </c>
      <c r="I24" s="17" t="s">
        <v>174</v>
      </c>
      <c r="J24" s="17" t="s">
        <v>1</v>
      </c>
      <c r="K24" s="17" t="s">
        <v>1</v>
      </c>
      <c r="L24" s="17" t="s">
        <v>1</v>
      </c>
      <c r="M24" s="17" t="s">
        <v>1</v>
      </c>
      <c r="N24" s="17" t="s">
        <v>1</v>
      </c>
      <c r="O24" s="17" t="s">
        <v>1</v>
      </c>
      <c r="P24" s="17" t="s">
        <v>1</v>
      </c>
      <c r="Q24" s="19" t="s">
        <v>1</v>
      </c>
      <c r="R24" s="17" t="s">
        <v>1</v>
      </c>
      <c r="S24" s="17" t="s">
        <v>1</v>
      </c>
      <c r="T24" s="19" t="s">
        <v>1</v>
      </c>
      <c r="U24" s="17" t="s">
        <v>1</v>
      </c>
      <c r="V24" s="19" t="s">
        <v>1</v>
      </c>
      <c r="W24" s="19" t="s">
        <v>1</v>
      </c>
      <c r="X24" s="19" t="s">
        <v>1</v>
      </c>
      <c r="Y24" s="17" t="s">
        <v>1</v>
      </c>
      <c r="Z24" s="19" t="s">
        <v>1</v>
      </c>
    </row>
    <row r="25" spans="1:26">
      <c r="A25" s="10"/>
      <c r="B25" s="21" t="s">
        <v>192</v>
      </c>
      <c r="C25" s="47" t="s">
        <v>71</v>
      </c>
      <c r="D25" s="67"/>
      <c r="E25" s="67"/>
      <c r="F25" s="68"/>
      <c r="G25" s="17" t="s">
        <v>173</v>
      </c>
      <c r="H25" s="17" t="s">
        <v>1</v>
      </c>
      <c r="I25" s="17" t="s">
        <v>174</v>
      </c>
      <c r="J25" s="17" t="s">
        <v>1</v>
      </c>
      <c r="K25" s="17" t="s">
        <v>1</v>
      </c>
      <c r="L25" s="17" t="s">
        <v>1</v>
      </c>
      <c r="M25" s="17" t="s">
        <v>1</v>
      </c>
      <c r="N25" s="17" t="s">
        <v>1</v>
      </c>
      <c r="O25" s="17" t="s">
        <v>1</v>
      </c>
      <c r="P25" s="17" t="s">
        <v>1</v>
      </c>
      <c r="Q25" s="19" t="s">
        <v>1</v>
      </c>
      <c r="R25" s="17" t="s">
        <v>1</v>
      </c>
      <c r="S25" s="17" t="s">
        <v>1</v>
      </c>
      <c r="T25" s="19" t="s">
        <v>1</v>
      </c>
      <c r="U25" s="17" t="s">
        <v>1</v>
      </c>
      <c r="V25" s="19" t="s">
        <v>1</v>
      </c>
      <c r="W25" s="19" t="s">
        <v>1</v>
      </c>
      <c r="X25" s="19" t="s">
        <v>1</v>
      </c>
      <c r="Y25" s="17" t="s">
        <v>1</v>
      </c>
      <c r="Z25" s="19" t="s">
        <v>1</v>
      </c>
    </row>
    <row r="26" spans="1:26">
      <c r="A26" s="10"/>
      <c r="B26" s="21" t="s">
        <v>193</v>
      </c>
      <c r="C26" s="47" t="s">
        <v>73</v>
      </c>
      <c r="D26" s="67"/>
      <c r="E26" s="67"/>
      <c r="F26" s="68"/>
      <c r="G26" s="17" t="s">
        <v>173</v>
      </c>
      <c r="H26" s="17" t="s">
        <v>1</v>
      </c>
      <c r="I26" s="17" t="s">
        <v>174</v>
      </c>
      <c r="J26" s="17" t="s">
        <v>1</v>
      </c>
      <c r="K26" s="17" t="s">
        <v>1</v>
      </c>
      <c r="L26" s="17" t="s">
        <v>1</v>
      </c>
      <c r="M26" s="17" t="s">
        <v>1</v>
      </c>
      <c r="N26" s="17" t="s">
        <v>1</v>
      </c>
      <c r="O26" s="17" t="s">
        <v>1</v>
      </c>
      <c r="P26" s="17" t="s">
        <v>1</v>
      </c>
      <c r="Q26" s="19" t="s">
        <v>1</v>
      </c>
      <c r="R26" s="17" t="s">
        <v>1</v>
      </c>
      <c r="S26" s="17" t="s">
        <v>1</v>
      </c>
      <c r="T26" s="19" t="s">
        <v>1</v>
      </c>
      <c r="U26" s="17" t="s">
        <v>1</v>
      </c>
      <c r="V26" s="19" t="s">
        <v>1</v>
      </c>
      <c r="W26" s="19" t="s">
        <v>1</v>
      </c>
      <c r="X26" s="19" t="s">
        <v>1</v>
      </c>
      <c r="Y26" s="17" t="s">
        <v>1</v>
      </c>
      <c r="Z26" s="19" t="s">
        <v>1</v>
      </c>
    </row>
    <row r="27" spans="1:26">
      <c r="A27" s="10"/>
      <c r="B27" s="21" t="s">
        <v>194</v>
      </c>
      <c r="C27" s="47" t="s">
        <v>75</v>
      </c>
      <c r="D27" s="67"/>
      <c r="E27" s="67"/>
      <c r="F27" s="68"/>
      <c r="G27" s="17" t="s">
        <v>173</v>
      </c>
      <c r="H27" s="17" t="s">
        <v>1</v>
      </c>
      <c r="I27" s="17" t="s">
        <v>174</v>
      </c>
      <c r="J27" s="17" t="s">
        <v>1</v>
      </c>
      <c r="K27" s="17" t="s">
        <v>1</v>
      </c>
      <c r="L27" s="17" t="s">
        <v>1</v>
      </c>
      <c r="M27" s="17" t="s">
        <v>1</v>
      </c>
      <c r="N27" s="17" t="s">
        <v>1</v>
      </c>
      <c r="O27" s="17" t="s">
        <v>1</v>
      </c>
      <c r="P27" s="17" t="s">
        <v>1</v>
      </c>
      <c r="Q27" s="19" t="s">
        <v>1</v>
      </c>
      <c r="R27" s="17" t="s">
        <v>1</v>
      </c>
      <c r="S27" s="17" t="s">
        <v>1</v>
      </c>
      <c r="T27" s="19" t="s">
        <v>1</v>
      </c>
      <c r="U27" s="17" t="s">
        <v>1</v>
      </c>
      <c r="V27" s="19" t="s">
        <v>1</v>
      </c>
      <c r="W27" s="19" t="s">
        <v>1</v>
      </c>
      <c r="X27" s="19" t="s">
        <v>1</v>
      </c>
      <c r="Y27" s="17" t="s">
        <v>1</v>
      </c>
      <c r="Z27" s="19" t="s">
        <v>1</v>
      </c>
    </row>
    <row r="28" spans="1:26">
      <c r="B28" s="6" t="s">
        <v>195</v>
      </c>
      <c r="C28" s="64" t="s">
        <v>196</v>
      </c>
      <c r="D28" s="51"/>
      <c r="E28" s="51"/>
      <c r="F28" s="51"/>
    </row>
    <row r="29" spans="1:26">
      <c r="A29" s="10"/>
      <c r="B29" s="21" t="s">
        <v>197</v>
      </c>
      <c r="C29" s="47" t="s">
        <v>78</v>
      </c>
      <c r="D29" s="67"/>
      <c r="E29" s="67"/>
      <c r="F29" s="68"/>
      <c r="G29" s="17" t="s">
        <v>173</v>
      </c>
      <c r="H29" s="17" t="s">
        <v>1</v>
      </c>
      <c r="I29" s="17" t="s">
        <v>174</v>
      </c>
      <c r="J29" s="17" t="s">
        <v>1</v>
      </c>
      <c r="K29" s="17" t="s">
        <v>1</v>
      </c>
      <c r="L29" s="17" t="s">
        <v>1</v>
      </c>
      <c r="M29" s="17" t="s">
        <v>1</v>
      </c>
      <c r="N29" s="17" t="s">
        <v>1</v>
      </c>
      <c r="O29" s="17" t="s">
        <v>1</v>
      </c>
      <c r="P29" s="17" t="s">
        <v>1</v>
      </c>
      <c r="Q29" s="19" t="s">
        <v>1</v>
      </c>
      <c r="R29" s="17" t="s">
        <v>1</v>
      </c>
      <c r="S29" s="17" t="s">
        <v>1</v>
      </c>
      <c r="T29" s="19" t="s">
        <v>1</v>
      </c>
      <c r="U29" s="17" t="s">
        <v>1</v>
      </c>
      <c r="V29" s="19" t="s">
        <v>1</v>
      </c>
      <c r="W29" s="19" t="s">
        <v>1</v>
      </c>
      <c r="X29" s="19" t="s">
        <v>1</v>
      </c>
      <c r="Y29" s="17" t="s">
        <v>1</v>
      </c>
      <c r="Z29" s="19" t="s">
        <v>1</v>
      </c>
    </row>
  </sheetData>
  <mergeCells count="27">
    <mergeCell ref="C25:F25"/>
    <mergeCell ref="C26:F26"/>
    <mergeCell ref="C27:F27"/>
    <mergeCell ref="C28:F28"/>
    <mergeCell ref="C29:F29"/>
    <mergeCell ref="C20:F20"/>
    <mergeCell ref="C21:F21"/>
    <mergeCell ref="C22:F22"/>
    <mergeCell ref="C23:F23"/>
    <mergeCell ref="C24:F24"/>
    <mergeCell ref="C15:F15"/>
    <mergeCell ref="C16:F16"/>
    <mergeCell ref="C17:F17"/>
    <mergeCell ref="C18:F18"/>
    <mergeCell ref="C19:F19"/>
    <mergeCell ref="C10:F10"/>
    <mergeCell ref="C11:F11"/>
    <mergeCell ref="C12:F12"/>
    <mergeCell ref="C13:F13"/>
    <mergeCell ref="C14:F14"/>
    <mergeCell ref="B2:C2"/>
    <mergeCell ref="D2:E2"/>
    <mergeCell ref="G2:H2"/>
    <mergeCell ref="C3:F3"/>
    <mergeCell ref="W4:W9"/>
    <mergeCell ref="B4:B9"/>
    <mergeCell ref="C4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PAUL.PY.CHEN 陳柏宇</cp:lastModifiedBy>
  <cp:revision/>
  <dcterms:created xsi:type="dcterms:W3CDTF">2024-12-03T01:44:15Z</dcterms:created>
  <dcterms:modified xsi:type="dcterms:W3CDTF">2024-12-03T01:51:46Z</dcterms:modified>
  <cp:category/>
  <cp:contentStatus/>
</cp:coreProperties>
</file>