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sion Inventory Results" r:id="rId3" sheetId="1"/>
    <sheet name="Emission Inventory Scope 1" r:id="rId4" sheetId="2"/>
    <sheet name="Emission Inventory Scope 2-6" r:id="rId5" sheetId="3"/>
  </sheets>
</workbook>
</file>

<file path=xl/sharedStrings.xml><?xml version="1.0" encoding="utf-8"?>
<sst xmlns="http://schemas.openxmlformats.org/spreadsheetml/2006/main" count="1879" uniqueCount="333">
  <si>
    <t>台達組織碳盤查平台-盤查清冊</t>
  </si>
  <si>
    <t/>
  </si>
  <si>
    <t>盤查與驗證概況</t>
  </si>
  <si>
    <t>盤查內容說明</t>
  </si>
  <si>
    <t>2023GHG 排放 (tCO2e)</t>
  </si>
  <si>
    <t>定義</t>
  </si>
  <si>
    <t>排放源</t>
  </si>
  <si>
    <t>計算方法</t>
  </si>
  <si>
    <t>活動數據來源</t>
  </si>
  <si>
    <t>排放係數來源</t>
  </si>
  <si>
    <t>數據保管單位</t>
  </si>
  <si>
    <t>類別1：直接GHG排放與移除</t>
  </si>
  <si>
    <t>固定燃燒直接排放</t>
  </si>
  <si>
    <t>係任何類型燃料(化石燃料或生質燃料)在固定式設備(例:加熱器、燃氣渦輪、鍋爐)中燃燒之結果，可藉以產生熱、機械功及蒸汽。</t>
  </si>
  <si>
    <t>1,292.824222</t>
  </si>
  <si>
    <t>鍋爐[天然氣]</t>
  </si>
  <si>
    <t>天然氣</t>
  </si>
  <si>
    <t>中國之燃料排放係數</t>
  </si>
  <si>
    <t>餐飲/廚房設備[天然氣]</t>
  </si>
  <si>
    <t>RTO廢氣處理設施(天然氣)</t>
  </si>
  <si>
    <t>緊急發電機[柴油]</t>
  </si>
  <si>
    <t>發電機</t>
  </si>
  <si>
    <t>割草機/噴藥機[汽油]</t>
  </si>
  <si>
    <t>割草機</t>
  </si>
  <si>
    <t>RTO廢氣處理設施運行(辅房）</t>
  </si>
  <si>
    <t>RCO廢氣處理設施運行（一期北）</t>
  </si>
  <si>
    <t>RCO廢氣處理設施運行（二期）</t>
  </si>
  <si>
    <t>移動燃燒直接排放</t>
  </si>
  <si>
    <t>係燃料在運輸設備(例:機動車輛、貨車、船舶、飛機、機動堆高機)內燃燒之結果</t>
  </si>
  <si>
    <t>90.51069</t>
  </si>
  <si>
    <t>車輛[汽油]</t>
  </si>
  <si>
    <t>車輛[柴油]</t>
  </si>
  <si>
    <t>柴油(移動)</t>
  </si>
  <si>
    <t>工業製程之直接製程排放及移除</t>
  </si>
  <si>
    <t>產業過程之直接過程排放與移除。</t>
  </si>
  <si>
    <t>0</t>
  </si>
  <si>
    <t>人為系統中溫室氣體釋放產生的直接逸散排放</t>
  </si>
  <si>
    <t>由人為系統所釋放的溫室氣體產生的直接逸散性排放。</t>
  </si>
  <si>
    <t>994.790241</t>
  </si>
  <si>
    <t>品保空調/研发楼饮水机/倉庫空調/除濕機</t>
  </si>
  <si>
    <t>2022 年環保署排放係管理表6.0.4</t>
  </si>
  <si>
    <t>倉庫空調/廠務冰水機</t>
  </si>
  <si>
    <t>品保除濕機/溫濕度管控櫃/廠務冰水機/廠務雙效熱泵/研发楼冰櫃/研发楼饮水机</t>
  </si>
  <si>
    <t>品保冷熱衝擊試驗機/品保冷熱衝擊試驗機/品保恆溫恆濕機</t>
  </si>
  <si>
    <t>品保冷熱衝擊試驗機</t>
  </si>
  <si>
    <t>品保冷熱衝擊試驗機/造粉冰水機</t>
  </si>
  <si>
    <t>製造激光冷水機/製造除濕機/製造激光冰水機/造粉冷庫/除濕機</t>
  </si>
  <si>
    <t>造粉冷凝機/廠務冰水機</t>
  </si>
  <si>
    <t>製造激光冷水機/製造激光冰水機/造粉冰機/冷凝機</t>
  </si>
  <si>
    <t>製造激光冷水機</t>
  </si>
  <si>
    <t>廠務冰水機/廠務冷幹機/廠務空調</t>
  </si>
  <si>
    <t>研发楼商務車空调</t>
  </si>
  <si>
    <t>主管楼冰箱/餐厅冰櫃</t>
  </si>
  <si>
    <t>主管楼空調R-22</t>
  </si>
  <si>
    <t>主管楼空調</t>
  </si>
  <si>
    <t>主管楼空調R-32</t>
  </si>
  <si>
    <t>主管楼空調R-410A</t>
  </si>
  <si>
    <t>主管楼冰箱R-600a</t>
  </si>
  <si>
    <t>WD-40 使用(CO2)</t>
  </si>
  <si>
    <t>化糞池(工廠)</t>
  </si>
  <si>
    <t>化糞池(宿舍)</t>
  </si>
  <si>
    <t>土地利用變更和森林 (LULUCF) 的直接排放和移除</t>
  </si>
  <si>
    <t>涵蓋由 活生質體至土壤內有機物質之所有溫室氣體。依據IPCC，可依據 6 個主要的土地使用類別(林地、農地、牧草地、濕地、居留地、其他土地)，及數個碳儲存庫(地上活生質、地下活生質、 枯木、落葉、土壤有機物質)評估其排放量。</t>
  </si>
  <si>
    <t>類別2：輸入能源之間接GHG排放</t>
  </si>
  <si>
    <t>輸入電力的間接排放</t>
  </si>
  <si>
    <t>包含有關組織生產與消耗輸入電力之溫室氣體排放。</t>
  </si>
  <si>
    <t>所在地基準</t>
  </si>
  <si>
    <t>市場基準</t>
  </si>
  <si>
    <t>全廠區用電</t>
  </si>
  <si>
    <t>外購電力</t>
  </si>
  <si>
    <t>71,072.382037</t>
  </si>
  <si>
    <t>輸入能源的間接排放</t>
  </si>
  <si>
    <t>包含有關組織透過實體聯網生產所消耗能源(蒸汽、熱能、冷卻及壓縮空氣)之溫室氣體排放，電力之排放除外。</t>
  </si>
  <si>
    <t>類別3：運輸造成之間接排放</t>
  </si>
  <si>
    <t>上游運輸和貨物配送產生的排放</t>
  </si>
  <si>
    <t>1階供應商至營運據點的產品運輸及配送。</t>
  </si>
  <si>
    <t>下游運輸和貨物配送產生的排放</t>
  </si>
  <si>
    <t>銷售產品從公司到終端消費者的運輸及配送。</t>
  </si>
  <si>
    <t>員工通勤產生的排放</t>
  </si>
  <si>
    <t>員工從居住點到工作點的運輸。</t>
  </si>
  <si>
    <t>客戶和訪客運輸產生的排放</t>
  </si>
  <si>
    <t>包括客戶與訪客前往報告公司的工廠，與旅行相關連的排放。</t>
  </si>
  <si>
    <t>商務旅行產生的排放</t>
  </si>
  <si>
    <t>員工商務相關的運輸。</t>
  </si>
  <si>
    <t>60.674</t>
  </si>
  <si>
    <t>員工差旅</t>
  </si>
  <si>
    <t>國際航空差旅運輸(乾坤)</t>
  </si>
  <si>
    <t>類別4：組織使用產品造成之間接排放</t>
  </si>
  <si>
    <t>產品使用階段的排放或移除</t>
  </si>
  <si>
    <t>賣出產品的使用</t>
  </si>
  <si>
    <t>259.122098</t>
  </si>
  <si>
    <t>工廠生產生活使用的自來水</t>
  </si>
  <si>
    <t>資本商品的排放</t>
  </si>
  <si>
    <t>資本貨物的開採、生產及運輸</t>
  </si>
  <si>
    <t>固體和液體廢棄物處理產生的排放</t>
  </si>
  <si>
    <t>非公司擁有的設施廢棄物處置與處理。</t>
  </si>
  <si>
    <t>550.02027</t>
  </si>
  <si>
    <t>表面處理污泥（回收）</t>
  </si>
  <si>
    <t>廢有機溶劑（回收）</t>
  </si>
  <si>
    <t>廢有機溶劑（焚燒）</t>
  </si>
  <si>
    <t>廢礦物油/防鏽油（回收）</t>
  </si>
  <si>
    <t>廢礦物油/防鏽油（焚燒）</t>
  </si>
  <si>
    <t>表面處理廢液（回收）</t>
  </si>
  <si>
    <t>有機廢物（廢容器&amp;吸附過濾介質焚燒）</t>
  </si>
  <si>
    <t>廢樹脂膠（焚燒）</t>
  </si>
  <si>
    <t>廢濾芯（焚燒）</t>
  </si>
  <si>
    <t>廢活性炭（焚燒）</t>
  </si>
  <si>
    <t>廢活性炭（再生循環利用）</t>
  </si>
  <si>
    <t>廢乳化液（回收）</t>
  </si>
  <si>
    <t>蒸馏残渣（结晶盐焚燒）</t>
  </si>
  <si>
    <t>生活垃圾（焚燒）</t>
  </si>
  <si>
    <t>非製程廢水處理</t>
  </si>
  <si>
    <t>租賃設備資產使用造成之排放</t>
  </si>
  <si>
    <t>租賃資產(不屬於scope1及scope2)。</t>
  </si>
  <si>
    <t>上述子類別中未描述使用服務而產生的排放</t>
  </si>
  <si>
    <t>如顧問諮詢、清潔服務…等</t>
  </si>
  <si>
    <t>類別5：使用來自組織之產品造成的間接排放</t>
  </si>
  <si>
    <t>源自採購商品的排放</t>
  </si>
  <si>
    <t>產品和服務的開採、生產及運輸。</t>
  </si>
  <si>
    <t>下游租賃資產的排放</t>
  </si>
  <si>
    <t>公司擁有的資產租賃(不屬於scope1及scope2)。</t>
  </si>
  <si>
    <t>產品生命終期階段的排放</t>
  </si>
  <si>
    <t>賣出產品的廢棄物處置與處理。</t>
  </si>
  <si>
    <t>投資產生的排放</t>
  </si>
  <si>
    <t>投資(不屬於scope1及scope2)。</t>
  </si>
  <si>
    <t>類別6：其他</t>
  </si>
  <si>
    <t>其他來源之間接溫室氣體排放量</t>
  </si>
  <si>
    <t>如中間產品的製程、特許經銷商…等。</t>
  </si>
  <si>
    <t>合計排放量</t>
  </si>
  <si>
    <t>74,320.323559</t>
  </si>
  <si>
    <t>3,247.941522</t>
  </si>
  <si>
    <t>tCO2e</t>
  </si>
  <si>
    <t xml:space="preserve">七大溫室氣體
</t>
  </si>
  <si>
    <t>CO2</t>
  </si>
  <si>
    <t>CH4</t>
  </si>
  <si>
    <t>N2O</t>
  </si>
  <si>
    <t>HFCs</t>
  </si>
  <si>
    <t>PFCs</t>
  </si>
  <si>
    <t>SF6</t>
  </si>
  <si>
    <t>NF3</t>
  </si>
  <si>
    <t>Sum(t-CO2e)</t>
  </si>
  <si>
    <t>2,248.471544</t>
  </si>
  <si>
    <t>487.015326</t>
  </si>
  <si>
    <t>3.2443</t>
  </si>
  <si>
    <t>509.210352</t>
  </si>
  <si>
    <t xml:space="preserve">類別1七大溫室氣體
</t>
  </si>
  <si>
    <t>1,378.655176</t>
  </si>
  <si>
    <t>2,378.125154</t>
  </si>
  <si>
    <t>陸運距離參考：Land Transportation(1)Google map：https://www.google.com.tw/maps/(2)百度地圖：https://map.baidu.com/海運距離參考：Sea Transportation(1)http://ports.com/sea-route/空運距離參考：Air Transportation(1)https://www.icao.int/environmental-protection/Carbonoffset/Pages/default.aspx</t>
  </si>
  <si>
    <t>參數1</t>
  </si>
  <si>
    <t>參數2</t>
  </si>
  <si>
    <t>參數3</t>
  </si>
  <si>
    <t>參數4</t>
  </si>
  <si>
    <t>參數5</t>
  </si>
  <si>
    <t>間接溫室氣體排放</t>
  </si>
  <si>
    <t>噸CO2e</t>
  </si>
  <si>
    <t>排放源鑑別</t>
  </si>
  <si>
    <t>是否納入盤查</t>
  </si>
  <si>
    <t>資訊取得難易度</t>
  </si>
  <si>
    <t>活動數據準確性</t>
  </si>
  <si>
    <t>數據蒐集及準備時間</t>
  </si>
  <si>
    <t>是否為預期使用者需求必要要求</t>
  </si>
  <si>
    <t>重大性得分</t>
  </si>
  <si>
    <t>重大性鑑別(S/NS)</t>
  </si>
  <si>
    <t>活動數據</t>
  </si>
  <si>
    <t>活動數據單位</t>
  </si>
  <si>
    <t>活動數據佐證</t>
  </si>
  <si>
    <t>排放係數</t>
  </si>
  <si>
    <t>小計t-CO2e</t>
  </si>
  <si>
    <t>合計t-CO2e</t>
  </si>
  <si>
    <t>原活動數據</t>
  </si>
  <si>
    <t>原活動數據單位</t>
  </si>
  <si>
    <t>單位轉換比例</t>
  </si>
  <si>
    <t>類別 2:</t>
  </si>
  <si>
    <t>輸入能源的間接溫室氣體排放</t>
  </si>
  <si>
    <t>2.1</t>
  </si>
  <si>
    <t>有</t>
  </si>
  <si>
    <t>否</t>
  </si>
  <si>
    <t>NS</t>
  </si>
  <si>
    <t>KWh</t>
  </si>
  <si>
    <t>0.79210000000000000000000000000000</t>
  </si>
  <si>
    <t>89726527.00000000</t>
  </si>
  <si>
    <t>1</t>
  </si>
  <si>
    <t>2.2</t>
  </si>
  <si>
    <t>不適用</t>
  </si>
  <si>
    <t>類別 3:</t>
  </si>
  <si>
    <t>運輸產生的間接溫室氣體排放</t>
  </si>
  <si>
    <t>3.1</t>
  </si>
  <si>
    <t>3.2</t>
  </si>
  <si>
    <t>3.3</t>
  </si>
  <si>
    <t>3.4</t>
  </si>
  <si>
    <t>3.5</t>
  </si>
  <si>
    <t>公斤</t>
  </si>
  <si>
    <t>1.00000000000000000000000000000000</t>
  </si>
  <si>
    <t>60674.00000000001</t>
  </si>
  <si>
    <t>類別 4:</t>
  </si>
  <si>
    <t>組織使用的產品之間接溫室氣體排放</t>
  </si>
  <si>
    <t>4.1</t>
  </si>
  <si>
    <t>0.78800000000000000000000000000000</t>
  </si>
  <si>
    <t>328835.1496000000</t>
  </si>
  <si>
    <t>4.2</t>
  </si>
  <si>
    <t>4.3</t>
  </si>
  <si>
    <t>34.00000000000000000000000000000000</t>
  </si>
  <si>
    <t>38.57199999999999</t>
  </si>
  <si>
    <t>197.8400000000000</t>
  </si>
  <si>
    <t>2550.00000000000000000000000000000000</t>
  </si>
  <si>
    <t>25.02000000000002</t>
  </si>
  <si>
    <t>24.60000000000000</t>
  </si>
  <si>
    <t>2.039999999999996</t>
  </si>
  <si>
    <t>20.49999999999999</t>
  </si>
  <si>
    <t>41.40200000000001</t>
  </si>
  <si>
    <t>25.70000000000000</t>
  </si>
  <si>
    <t>9.109999999999985</t>
  </si>
  <si>
    <t>3.538999999999999</t>
  </si>
  <si>
    <t>9.699999999999991</t>
  </si>
  <si>
    <t>17.03999999999999</t>
  </si>
  <si>
    <t>1.000000000000015</t>
  </si>
  <si>
    <t>519.00000000000000000000000000000000</t>
  </si>
  <si>
    <t>435.3699999999999</t>
  </si>
  <si>
    <t>0.33600000000000000000000000000000</t>
  </si>
  <si>
    <t>115073.2795000000</t>
  </si>
  <si>
    <t>4.4</t>
  </si>
  <si>
    <t>4.5</t>
  </si>
  <si>
    <t>類別 5:</t>
  </si>
  <si>
    <t>使用組織的產品所產生之間接溫室氣體排放</t>
  </si>
  <si>
    <t>5.1</t>
  </si>
  <si>
    <t>5.2</t>
  </si>
  <si>
    <t>5.3</t>
  </si>
  <si>
    <t>5.4</t>
  </si>
  <si>
    <t>類別 6:</t>
  </si>
  <si>
    <t>其他</t>
  </si>
  <si>
    <t>6.1</t>
  </si>
  <si>
    <t>報告邊界</t>
  </si>
  <si>
    <t>總碳排放量</t>
  </si>
  <si>
    <t>直接溫室氣體排放</t>
  </si>
  <si>
    <t>類型</t>
  </si>
  <si>
    <t>鑑別(有/無)</t>
  </si>
  <si>
    <t>原燃物料或產品</t>
  </si>
  <si>
    <t>GWP</t>
  </si>
  <si>
    <t>溫室氣體排放量</t>
  </si>
  <si>
    <t>類別1、2佔比</t>
  </si>
  <si>
    <t>總碳排放量佔比</t>
  </si>
  <si>
    <t>逸散方式</t>
  </si>
  <si>
    <t>逸散率(%)</t>
  </si>
  <si>
    <t>類別1:</t>
  </si>
  <si>
    <t>直接溫室氣體排放和移除(1)</t>
  </si>
  <si>
    <t>1.1</t>
  </si>
  <si>
    <t>固定燃燒</t>
  </si>
  <si>
    <t>立方公尺</t>
  </si>
  <si>
    <t>2.18400000000000000000000000000000</t>
  </si>
  <si>
    <t>0.00003890000000000000000000000000</t>
  </si>
  <si>
    <t>0.00000389000000000000000000000000</t>
  </si>
  <si>
    <t>1.00000000</t>
  </si>
  <si>
    <t>27.90000000</t>
  </si>
  <si>
    <t>273.00000000</t>
  </si>
  <si>
    <t>173116.9333000000</t>
  </si>
  <si>
    <t>122074.5091000000</t>
  </si>
  <si>
    <t>278474.7273000000</t>
  </si>
  <si>
    <t>柴油</t>
  </si>
  <si>
    <t>3.16050000000000000000000000000000</t>
  </si>
  <si>
    <t>0.00012800000000000000000000000000</t>
  </si>
  <si>
    <t>0.00002560000000000000000000000000</t>
  </si>
  <si>
    <t>9575.999999999998</t>
  </si>
  <si>
    <t>汽油</t>
  </si>
  <si>
    <t>2.98480000000000000000000000000000</t>
  </si>
  <si>
    <t>0.00012900000000000000000000000000</t>
  </si>
  <si>
    <t>0.00002580000000000000000000000000</t>
  </si>
  <si>
    <t>146.0570000000000</t>
  </si>
  <si>
    <t>VOCs排放(輔房)</t>
  </si>
  <si>
    <t>0.00000100000000000000000000000000</t>
  </si>
  <si>
    <t>94411199.99999999</t>
  </si>
  <si>
    <t>VOCs排放(一期北)</t>
  </si>
  <si>
    <t>0.00008100000000000000000000000000</t>
  </si>
  <si>
    <t>85400879.99999999</t>
  </si>
  <si>
    <t>VOCs排放(二期)</t>
  </si>
  <si>
    <t>0.00000900000000000000000000000000</t>
  </si>
  <si>
    <t>98891928.00000000</t>
  </si>
  <si>
    <t>1.2</t>
  </si>
  <si>
    <t>移動燃燒</t>
  </si>
  <si>
    <t>汽油(移動)</t>
  </si>
  <si>
    <t>0.00108000000000000000000000000000</t>
  </si>
  <si>
    <t>0.00034500000000000000000000000000</t>
  </si>
  <si>
    <t>25637.53520000000</t>
  </si>
  <si>
    <t>0.00016600000000000000000000000000</t>
  </si>
  <si>
    <t>3364.200000000000</t>
  </si>
  <si>
    <t>1.3</t>
  </si>
  <si>
    <t>無</t>
  </si>
  <si>
    <t>1.4</t>
  </si>
  <si>
    <t>逸散排放</t>
  </si>
  <si>
    <t>R-22</t>
  </si>
  <si>
    <t>1960.00000000</t>
  </si>
  <si>
    <t>125.3840000000000</t>
  </si>
  <si>
    <t>冷媒逸散</t>
  </si>
  <si>
    <t>逸散率法</t>
  </si>
  <si>
    <t>15.0000000000000000</t>
  </si>
  <si>
    <t>R-410A</t>
  </si>
  <si>
    <t>2255.50000000</t>
  </si>
  <si>
    <t>45.49999999999998</t>
  </si>
  <si>
    <t>R-134a</t>
  </si>
  <si>
    <t>1530.00000000</t>
  </si>
  <si>
    <t>529.5610000000002</t>
  </si>
  <si>
    <t>R-404A</t>
  </si>
  <si>
    <t>4728.00000000</t>
  </si>
  <si>
    <t>44.29999999999999</t>
  </si>
  <si>
    <t>R-23</t>
  </si>
  <si>
    <t>14600.00000000</t>
  </si>
  <si>
    <t>1.999999999999993</t>
  </si>
  <si>
    <t>R-508A</t>
  </si>
  <si>
    <t>13258.00000000</t>
  </si>
  <si>
    <t>6.809999999999985</t>
  </si>
  <si>
    <t>212.0300000000000</t>
  </si>
  <si>
    <t>21.59999999999999</t>
  </si>
  <si>
    <t>169.3800000000000</t>
  </si>
  <si>
    <t>58.85999999999999</t>
  </si>
  <si>
    <t>313.3000000000000</t>
  </si>
  <si>
    <t>5.000000000000000</t>
  </si>
  <si>
    <t>20.0000000000000000</t>
  </si>
  <si>
    <t>0.9019999999999895</t>
  </si>
  <si>
    <t>10.0000000000000000</t>
  </si>
  <si>
    <t>185.8500000000000</t>
  </si>
  <si>
    <t>R-32</t>
  </si>
  <si>
    <t>771.00000000</t>
  </si>
  <si>
    <t>2.249999999999987</t>
  </si>
  <si>
    <t>32.06000000000001</t>
  </si>
  <si>
    <t>R-600a</t>
  </si>
  <si>
    <t>3.858999999999990</t>
  </si>
  <si>
    <t>9.983500000000019</t>
  </si>
  <si>
    <t>其他逸散</t>
  </si>
  <si>
    <t>化糞池CH4</t>
  </si>
  <si>
    <t>0.48000000000000000000000000000000</t>
  </si>
  <si>
    <t>23846.22350000000</t>
  </si>
  <si>
    <t>12411.98330000000</t>
  </si>
  <si>
    <t>1.5</t>
  </si>
</sst>
</file>

<file path=xl/styles.xml><?xml version="1.0" encoding="utf-8"?>
<styleSheet xmlns="http://schemas.openxmlformats.org/spreadsheetml/2006/main">
  <numFmts count="2">
    <numFmt numFmtId="164" formatCode="0.0000000000"/>
    <numFmt numFmtId="165" formatCode=" 0.00%"/>
  </numFmts>
  <fonts count="10">
    <font>
      <sz val="11.0"/>
      <color indexed="8"/>
      <name val="Calibri"/>
      <family val="2"/>
      <scheme val="minor"/>
    </font>
    <font>
      <name val="微軟正黑體"/>
      <sz val="18.0"/>
      <b val="true"/>
    </font>
    <font>
      <name val="微軟正黑體"/>
      <sz val="10.0"/>
      <b val="true"/>
      <color indexed="9"/>
    </font>
    <font>
      <name val="微軟正黑體"/>
      <sz val="10.0"/>
    </font>
    <font>
      <name val="微軟正黑體"/>
      <sz val="10.0"/>
      <color indexed="12"/>
    </font>
    <font>
      <name val="微軟正黑體"/>
      <sz val="10.0"/>
      <b val="true"/>
    </font>
    <font>
      <name val="微軟正黑體"/>
      <sz val="16.0"/>
      <b val="true"/>
      <color indexed="12"/>
    </font>
    <font>
      <name val="微軟正黑體"/>
      <sz val="16.0"/>
      <b val="true"/>
    </font>
    <font>
      <name val="微軟正黑體"/>
      <sz val="12.0"/>
      <b val="true"/>
    </font>
    <font>
      <name val="微軟正黑體"/>
      <sz val="12.0"/>
    </font>
  </fonts>
  <fills count="1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rgb="0087DC"/>
      </patternFill>
    </fill>
    <fill>
      <patternFill patternType="solid">
        <fgColor rgb="B9EB5F"/>
      </patternFill>
    </fill>
    <fill>
      <patternFill patternType="solid">
        <fgColor rgb="64D7D7"/>
      </patternFill>
    </fill>
    <fill>
      <patternFill patternType="none">
        <fgColor rgb="D6DCE4"/>
      </patternFill>
    </fill>
    <fill>
      <patternFill patternType="solid">
        <fgColor rgb="D6DCE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0087DC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64D7D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D6DCE4"/>
        <bgColor indexed="64"/>
      </patternFill>
    </fill>
  </fills>
  <borders count="91">
    <border>
      <left/>
      <right/>
      <top/>
      <bottom/>
      <diagonal/>
    </border>
    <border>
      <right style="thin"/>
    </border>
    <border>
      <right style="thin"/>
      <bottom style="thin"/>
    </border>
    <border>
      <right style="thin"/>
      <top style="medium"/>
    </border>
    <border>
      <right style="thin"/>
      <top style="medium"/>
      <bottom>
        <color indexed="8"/>
      </bottom>
    </border>
    <border>
      <left>
        <color indexed="8"/>
      </left>
      <right style="thin"/>
      <top style="medium"/>
      <bottom>
        <color indexed="8"/>
      </bottom>
    </border>
    <border>
      <left>
        <color indexed="8"/>
      </left>
      <right style="thin">
        <color indexed="8"/>
      </right>
      <top style="medium"/>
      <bottom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>
        <color indexed="8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bottom style="medium"/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thin"/>
      <bottom style="medium"/>
    </border>
    <border>
      <right style="thin"/>
      <bottom style="medium">
        <color indexed="8"/>
      </bottom>
    </border>
    <border>
      <left>
        <color indexed="8"/>
      </left>
      <right style="thin"/>
      <bottom style="medium">
        <color indexed="8"/>
      </bottom>
    </border>
    <border>
      <left>
        <color indexed="8"/>
      </left>
      <right style="thin">
        <color indexed="8"/>
      </right>
      <bottom style="medium">
        <color indexed="8"/>
      </bottom>
    </border>
    <border>
      <left>
        <color indexed="8"/>
      </left>
      <right style="thin"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bottom style="thin"/>
    </border>
    <border>
      <right style="thin"/>
      <top style="medium"/>
      <bottom style="thin"/>
    </border>
    <border>
      <right style="thin"/>
      <top style="medium"/>
      <bottom style="thin">
        <color indexed="8"/>
      </bottom>
    </border>
    <border>
      <left>
        <color indexed="8"/>
      </left>
      <right style="thin"/>
      <top style="medium"/>
      <bottom style="thin">
        <color indexed="8"/>
      </bottom>
    </border>
    <border>
      <left>
        <color indexed="8"/>
      </left>
      <right style="thin">
        <color indexed="8"/>
      </right>
      <top style="medium"/>
      <bottom style="thin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top style="medium"/>
      <bottom style="thin"/>
    </border>
    <border>
      <top style="medium"/>
      <bottom style="thin">
        <color indexed="8"/>
      </bottom>
    </border>
    <border>
      <left>
        <color indexed="8"/>
      </left>
      <top style="medium"/>
      <bottom style="thin">
        <color indexed="8"/>
      </bottom>
    </border>
    <border>
      <left>
        <color indexed="8"/>
      </left>
      <right>
        <color indexed="8"/>
      </right>
      <top style="medium"/>
      <bottom style="thin">
        <color indexed="8"/>
      </bottom>
    </border>
    <border>
      <left>
        <color indexed="8"/>
      </left>
      <right>
        <color indexed="8"/>
      </right>
      <top style="medium">
        <color indexed="8"/>
      </top>
      <bottom style="thin">
        <color indexed="8"/>
      </bottom>
    </border>
    <border>
      <right style="medium"/>
      <bottom style="thin"/>
    </border>
    <border>
      <right style="medium"/>
      <top style="medium"/>
      <bottom style="thin"/>
    </border>
    <border>
      <right style="medium"/>
      <top style="medium"/>
      <bottom style="thin">
        <color indexed="8"/>
      </bottom>
    </border>
    <border>
      <left>
        <color indexed="8"/>
      </left>
      <right style="medium"/>
      <top style="medium"/>
      <bottom style="thin">
        <color indexed="8"/>
      </bottom>
    </border>
    <border>
      <left>
        <color indexed="8"/>
      </left>
      <right style="medium">
        <color indexed="8"/>
      </right>
      <top style="medium"/>
      <bottom style="thin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right style="medium"/>
      <bottom style="thin">
        <color indexed="8"/>
      </bottom>
    </border>
    <border>
      <left>
        <color indexed="8"/>
      </left>
      <right style="medium"/>
      <bottom style="thin">
        <color indexed="8"/>
      </bottom>
    </border>
    <border>
      <left>
        <color indexed="8"/>
      </left>
      <right style="medium">
        <color indexed="8"/>
      </right>
      <bottom style="thin">
        <color indexed="8"/>
      </bottom>
    </border>
    <border>
      <left>
        <color indexed="8"/>
      </left>
      <right style="medium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</borders>
  <cellStyleXfs count="1">
    <xf numFmtId="0" fontId="0" fillId="0" borderId="0"/>
  </cellStyleXfs>
  <cellXfs count="80">
    <xf numFmtId="0" fontId="0" fillId="0" borderId="0" xfId="0"/>
    <xf numFmtId="0" fontId="0" fillId="3" borderId="0" xfId="0" applyFill="true">
      <alignment wrapText="true"/>
    </xf>
    <xf numFmtId="0" fontId="1" fillId="0" borderId="0" xfId="0" applyFont="true">
      <alignment wrapText="true"/>
    </xf>
    <xf numFmtId="0" fontId="2" fillId="4" borderId="1" xfId="0" applyFill="true" applyFont="true" applyAlignment="true" applyBorder="true">
      <alignment wrapText="true" horizontal="center" vertical="center"/>
    </xf>
    <xf numFmtId="0" fontId="5" fillId="3" borderId="2" xfId="0" applyFill="true" applyFont="true" applyAlignment="true" applyBorder="true">
      <alignment wrapText="true" horizontal="left" vertical="center"/>
    </xf>
    <xf numFmtId="0" fontId="5" fillId="3" borderId="2" xfId="0" applyFill="true" applyFont="true" applyAlignment="true" applyBorder="true">
      <alignment wrapText="true" horizontal="center" vertical="center"/>
    </xf>
    <xf numFmtId="0" fontId="3" fillId="3" borderId="2" xfId="0" applyFill="true" applyFont="true" applyAlignment="true" applyBorder="true">
      <alignment wrapText="true" horizontal="left" vertical="top"/>
    </xf>
    <xf numFmtId="0" fontId="4" fillId="3" borderId="2" xfId="0" applyFill="true" applyFont="true" applyAlignment="true" applyBorder="true">
      <alignment wrapText="true" horizontal="center" vertical="center"/>
    </xf>
    <xf numFmtId="0" fontId="5" fillId="5" borderId="2" xfId="0" applyFill="true" applyFont="true" applyAlignment="true" applyBorder="true">
      <alignment wrapText="true" horizontal="center" vertical="center"/>
    </xf>
    <xf numFmtId="0" fontId="5" fillId="6" borderId="2" xfId="0" applyFill="true" applyFont="true" applyAlignment="true" applyBorder="true">
      <alignment wrapText="true" horizontal="left" vertical="center"/>
    </xf>
    <xf numFmtId="164" fontId="0" fillId="0" borderId="0" xfId="0" applyNumberFormat="true"/>
    <xf numFmtId="164" fontId="6" fillId="0" borderId="0" xfId="0" applyNumberFormat="true" applyFont="true"/>
    <xf numFmtId="0" fontId="7" fillId="0" borderId="0" xfId="0" applyFont="true"/>
    <xf numFmtId="0" fontId="8" fillId="0" borderId="0" xfId="0" applyFont="true"/>
    <xf numFmtId="0" fontId="6" fillId="3" borderId="0" xfId="0" applyFont="true" applyFill="true" applyAlignment="true">
      <alignment horizontal="center" vertical="center"/>
    </xf>
    <xf numFmtId="0" fontId="8" fillId="3" borderId="0" xfId="0" applyFont="true" applyFill="true" applyAlignment="true">
      <alignment horizontal="center" vertical="center" wrapText="true"/>
    </xf>
    <xf numFmtId="0" fontId="8" fillId="0" borderId="0" xfId="0" applyFont="true"/>
    <xf numFmtId="0" fontId="9" fillId="8" borderId="0" xfId="0" applyFont="true" applyAlignment="true" applyFill="true">
      <alignment horizontal="center" vertical="center"/>
    </xf>
    <xf numFmtId="164" fontId="9" fillId="8" borderId="0" xfId="0" applyNumberFormat="true" applyFont="true" applyAlignment="true" applyFill="true">
      <alignment horizontal="right"/>
    </xf>
    <xf numFmtId="0" fontId="9" fillId="0" borderId="0" xfId="0" applyFont="true" applyAlignment="true">
      <alignment horizontal="center"/>
    </xf>
    <xf numFmtId="165" fontId="9" fillId="8" borderId="0" xfId="0" applyNumberFormat="true" applyFont="true" applyAlignment="true" applyFill="true">
      <alignment horizontal="right"/>
    </xf>
    <xf numFmtId="0" fontId="9" fillId="3" borderId="0" xfId="0" applyFont="true" applyAlignment="true" applyFill="true">
      <alignment horizontal="center" vertical="center"/>
    </xf>
    <xf numFmtId="0" fontId="2" fillId="12" borderId="7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1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2" borderId="2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2" borderId="3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2" fillId="12" borderId="37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3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12" borderId="43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4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4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5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5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6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6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5" fillId="16" borderId="32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5" fillId="17" borderId="3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" fillId="17" borderId="32" xfId="0" applyAlignment="true" applyBorder="true" applyNumberFormat="true" applyFill="true" applyFont="true" quotePrefix="false">
      <alignment horizontal="left" vertical="top" indent="0" textRotation="0" wrapText="true" shrinkToFit="false"/>
      <protection hidden="false" locked="true"/>
    </xf>
    <xf numFmtId="0" fontId="0" fillId="15" borderId="2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" fillId="17" borderId="3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3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7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8" fillId="17" borderId="75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7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8" fillId="17" borderId="8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5" borderId="8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5" borderId="8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8" fillId="17" borderId="85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9" fillId="17" borderId="7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9" fillId="18" borderId="7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4" fontId="9" fillId="18" borderId="75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9" fillId="17" borderId="8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9" fillId="18" borderId="8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4" fontId="9" fillId="18" borderId="8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9" fillId="17" borderId="8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9" fillId="18" borderId="8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4" fontId="9" fillId="18" borderId="85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9" fillId="18" borderId="62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4" fontId="9" fillId="18" borderId="62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9" fillId="17" borderId="9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15" borderId="9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" fillId="18" borderId="6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4" fontId="9" fillId="18" borderId="6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9" fillId="18" borderId="9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6" fillId="17" borderId="75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6" fillId="17" borderId="8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8" fillId="17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8" fillId="17" borderId="6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8" fillId="17" borderId="7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8" fillId="17" borderId="66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165" fontId="9" fillId="18" borderId="62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9" fillId="18" borderId="8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9" fillId="18" borderId="90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165" fontId="9" fillId="18" borderId="85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9" fillId="18" borderId="6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9" fillId="18" borderId="75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6" fillId="17" borderId="12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34.0" customWidth="true"/>
    <col min="5" max="5" width="34.0" customWidth="true"/>
    <col min="6" max="6" width="70.0" customWidth="true"/>
    <col min="7" max="7" width="48.0" customWidth="true"/>
    <col min="8" max="8" width="27.0" customWidth="true"/>
    <col min="9" max="9" width="24.0" customWidth="true"/>
    <col min="10" max="10" width="43.0" customWidth="true"/>
    <col min="11" max="11" width="14.0" customWidth="true"/>
  </cols>
  <sheetData>
    <row r="1" ht="27.0" customHeight="true">
      <c r="A1" t="s" s="2">
        <v>0</v>
      </c>
    </row>
    <row r="2" ht="30.0" customHeight="true">
      <c r="A2" t="s" s="22">
        <v>1</v>
      </c>
      <c r="B2" s="23"/>
      <c r="C2" s="29"/>
      <c r="D2" t="s" s="31">
        <v>2</v>
      </c>
      <c r="E2" s="32"/>
      <c r="F2" t="s" s="31">
        <v>3</v>
      </c>
      <c r="G2" s="33"/>
      <c r="H2" s="33"/>
      <c r="I2" s="33"/>
      <c r="J2" s="33"/>
      <c r="K2" s="34"/>
    </row>
    <row r="3" ht="42.0" customHeight="true">
      <c r="A3" s="26"/>
      <c r="B3" s="26"/>
      <c r="C3" s="30"/>
      <c r="D3" t="s" s="27">
        <v>4</v>
      </c>
      <c r="E3" t="s" s="27">
        <v>1</v>
      </c>
      <c r="F3" t="s" s="27">
        <v>5</v>
      </c>
      <c r="G3" t="s" s="27">
        <v>6</v>
      </c>
      <c r="H3" t="s" s="27">
        <v>7</v>
      </c>
      <c r="I3" t="s" s="27">
        <v>8</v>
      </c>
      <c r="J3" t="s" s="27">
        <v>9</v>
      </c>
      <c r="K3" t="s" s="28">
        <v>10</v>
      </c>
    </row>
    <row r="4" ht="70.0" customHeight="true">
      <c r="A4" t="s" s="9">
        <v>11</v>
      </c>
      <c r="B4" t="s" s="9">
        <v>12</v>
      </c>
      <c r="C4" s="35"/>
      <c r="D4" t="s" s="5">
        <v>14</v>
      </c>
      <c r="E4" s="35"/>
      <c r="F4" t="s" s="6">
        <v>13</v>
      </c>
      <c r="G4" t="s" s="6">
        <v>15</v>
      </c>
      <c r="H4" t="s" s="6">
        <v>1</v>
      </c>
      <c r="I4" t="s" s="6">
        <v>16</v>
      </c>
      <c r="J4" t="s" s="6">
        <v>17</v>
      </c>
      <c r="K4" t="s" s="6">
        <v>1</v>
      </c>
    </row>
    <row r="5" ht="70.0" customHeight="true">
      <c r="A5" s="35"/>
      <c r="C5" s="35"/>
      <c r="D5" t="s" s="5">
        <v>14</v>
      </c>
      <c r="E5" s="35"/>
      <c r="F5" s="35"/>
      <c r="G5" t="s" s="6">
        <v>18</v>
      </c>
      <c r="H5" t="s" s="6">
        <v>1</v>
      </c>
      <c r="I5" t="s" s="6">
        <v>16</v>
      </c>
      <c r="J5" t="s" s="6">
        <v>17</v>
      </c>
      <c r="K5" t="s" s="6">
        <v>1</v>
      </c>
    </row>
    <row r="6" ht="70.0" customHeight="true">
      <c r="A6" s="35"/>
      <c r="C6" s="35"/>
      <c r="D6" t="s" s="5">
        <v>14</v>
      </c>
      <c r="E6" s="35"/>
      <c r="F6" s="35"/>
      <c r="G6" t="s" s="6">
        <v>19</v>
      </c>
      <c r="H6" t="s" s="6">
        <v>1</v>
      </c>
      <c r="I6" t="s" s="6">
        <v>16</v>
      </c>
      <c r="J6" t="s" s="6">
        <v>17</v>
      </c>
      <c r="K6" t="s" s="6">
        <v>1</v>
      </c>
    </row>
    <row r="7" ht="70.0" customHeight="true">
      <c r="A7" s="35"/>
      <c r="C7" s="35"/>
      <c r="D7" t="s" s="5">
        <v>14</v>
      </c>
      <c r="E7" s="35"/>
      <c r="F7" s="35"/>
      <c r="G7" t="s" s="6">
        <v>20</v>
      </c>
      <c r="H7" t="s" s="6">
        <v>1</v>
      </c>
      <c r="I7" t="s" s="6">
        <v>21</v>
      </c>
      <c r="J7" t="s" s="6">
        <v>17</v>
      </c>
      <c r="K7" t="s" s="6">
        <v>1</v>
      </c>
    </row>
    <row r="8" ht="70.0" customHeight="true">
      <c r="A8" s="35"/>
      <c r="C8" s="35"/>
      <c r="D8" t="s" s="5">
        <v>14</v>
      </c>
      <c r="E8" s="35"/>
      <c r="F8" s="35"/>
      <c r="G8" t="s" s="6">
        <v>22</v>
      </c>
      <c r="H8" t="s" s="6">
        <v>1</v>
      </c>
      <c r="I8" t="s" s="6">
        <v>23</v>
      </c>
      <c r="J8" t="s" s="6">
        <v>17</v>
      </c>
      <c r="K8" t="s" s="6">
        <v>1</v>
      </c>
    </row>
    <row r="9" ht="70.0" customHeight="true">
      <c r="A9" s="35"/>
      <c r="C9" s="35"/>
      <c r="D9" t="s" s="5">
        <v>14</v>
      </c>
      <c r="E9" s="35"/>
      <c r="F9" s="35"/>
      <c r="G9" t="s" s="6">
        <v>24</v>
      </c>
      <c r="H9" t="s" s="6">
        <v>1</v>
      </c>
      <c r="I9" t="s" s="6">
        <v>24</v>
      </c>
      <c r="J9" t="s" s="6">
        <v>17</v>
      </c>
      <c r="K9" t="s" s="6">
        <v>1</v>
      </c>
    </row>
    <row r="10" ht="70.0" customHeight="true">
      <c r="A10" s="35"/>
      <c r="C10" s="35"/>
      <c r="D10" t="s" s="5">
        <v>14</v>
      </c>
      <c r="E10" s="35"/>
      <c r="F10" s="35"/>
      <c r="G10" t="s" s="6">
        <v>25</v>
      </c>
      <c r="H10" t="s" s="6">
        <v>1</v>
      </c>
      <c r="I10" t="s" s="6">
        <v>25</v>
      </c>
      <c r="J10" t="s" s="6">
        <v>17</v>
      </c>
      <c r="K10" t="s" s="6">
        <v>1</v>
      </c>
    </row>
    <row r="11" ht="70.0" customHeight="true">
      <c r="A11" s="35"/>
      <c r="B11" s="36"/>
      <c r="C11" s="37"/>
      <c r="D11" t="s" s="5">
        <v>14</v>
      </c>
      <c r="E11" s="37"/>
      <c r="F11" s="37"/>
      <c r="G11" t="s" s="6">
        <v>26</v>
      </c>
      <c r="H11" t="s" s="6">
        <v>1</v>
      </c>
      <c r="I11" t="s" s="6">
        <v>26</v>
      </c>
      <c r="J11" t="s" s="6">
        <v>17</v>
      </c>
      <c r="K11" t="s" s="6">
        <v>1</v>
      </c>
    </row>
    <row r="12" ht="70.0" customHeight="true">
      <c r="A12" s="35"/>
      <c r="B12" t="s" s="9">
        <v>27</v>
      </c>
      <c r="C12" s="35"/>
      <c r="D12" t="s" s="5">
        <v>29</v>
      </c>
      <c r="E12" s="35"/>
      <c r="F12" t="s" s="6">
        <v>28</v>
      </c>
      <c r="G12" t="s" s="6">
        <v>30</v>
      </c>
      <c r="H12" t="s" s="6">
        <v>1</v>
      </c>
      <c r="I12" t="s" s="6">
        <v>30</v>
      </c>
      <c r="J12" t="s" s="6">
        <v>17</v>
      </c>
      <c r="K12" t="s" s="6">
        <v>1</v>
      </c>
    </row>
    <row r="13" ht="70.0" customHeight="true">
      <c r="A13" s="35"/>
      <c r="B13" s="36"/>
      <c r="C13" s="37"/>
      <c r="D13" t="s" s="5">
        <v>29</v>
      </c>
      <c r="E13" s="37"/>
      <c r="F13" s="37"/>
      <c r="G13" t="s" s="6">
        <v>31</v>
      </c>
      <c r="H13" t="s" s="6">
        <v>1</v>
      </c>
      <c r="I13" t="s" s="6">
        <v>32</v>
      </c>
      <c r="J13" t="s" s="6">
        <v>17</v>
      </c>
      <c r="K13" t="s" s="6">
        <v>1</v>
      </c>
    </row>
    <row r="14" ht="70.0" customHeight="true">
      <c r="A14" s="35"/>
      <c r="B14" t="s" s="9">
        <v>33</v>
      </c>
      <c r="C14" s="37"/>
      <c r="D14" t="s" s="5">
        <v>35</v>
      </c>
      <c r="E14" s="37"/>
      <c r="F14" t="s" s="6">
        <v>34</v>
      </c>
      <c r="G14" s="6"/>
      <c r="H14" s="6"/>
      <c r="I14" s="6"/>
      <c r="J14" s="6"/>
      <c r="K14" s="6"/>
    </row>
    <row r="15" ht="70.0" customHeight="true">
      <c r="A15" s="35"/>
      <c r="B15" t="s" s="9">
        <v>36</v>
      </c>
      <c r="C15" s="35"/>
      <c r="D15" t="s" s="5">
        <v>38</v>
      </c>
      <c r="E15" s="35"/>
      <c r="F15" t="s" s="6">
        <v>37</v>
      </c>
      <c r="G15" t="s" s="6">
        <v>39</v>
      </c>
      <c r="H15" t="s" s="6">
        <v>1</v>
      </c>
      <c r="I15" t="s" s="6">
        <v>39</v>
      </c>
      <c r="J15" t="s" s="6">
        <v>40</v>
      </c>
      <c r="K15" t="s" s="6">
        <v>1</v>
      </c>
    </row>
    <row r="16" ht="70.0" customHeight="true">
      <c r="A16" s="35"/>
      <c r="C16" s="35"/>
      <c r="D16" t="s" s="5">
        <v>38</v>
      </c>
      <c r="E16" s="35"/>
      <c r="F16" s="35"/>
      <c r="G16" t="s" s="6">
        <v>41</v>
      </c>
      <c r="H16" t="s" s="6">
        <v>1</v>
      </c>
      <c r="I16" t="s" s="6">
        <v>41</v>
      </c>
      <c r="J16" t="s" s="6">
        <v>40</v>
      </c>
      <c r="K16" t="s" s="6">
        <v>1</v>
      </c>
    </row>
    <row r="17" ht="70.0" customHeight="true">
      <c r="A17" s="35"/>
      <c r="C17" s="35"/>
      <c r="D17" t="s" s="5">
        <v>38</v>
      </c>
      <c r="E17" s="35"/>
      <c r="F17" s="35"/>
      <c r="G17" t="s" s="6">
        <v>42</v>
      </c>
      <c r="H17" t="s" s="6">
        <v>1</v>
      </c>
      <c r="I17" t="s" s="6">
        <v>42</v>
      </c>
      <c r="J17" t="s" s="6">
        <v>40</v>
      </c>
      <c r="K17" t="s" s="6">
        <v>1</v>
      </c>
    </row>
    <row r="18" ht="70.0" customHeight="true">
      <c r="A18" s="35"/>
      <c r="C18" s="35"/>
      <c r="D18" t="s" s="5">
        <v>38</v>
      </c>
      <c r="E18" s="35"/>
      <c r="F18" s="35"/>
      <c r="G18" t="s" s="6">
        <v>43</v>
      </c>
      <c r="H18" t="s" s="6">
        <v>1</v>
      </c>
      <c r="I18" t="s" s="6">
        <v>43</v>
      </c>
      <c r="J18" t="s" s="6">
        <v>40</v>
      </c>
      <c r="K18" t="s" s="6">
        <v>1</v>
      </c>
    </row>
    <row r="19" ht="70.0" customHeight="true">
      <c r="A19" s="35"/>
      <c r="C19" s="35"/>
      <c r="D19" t="s" s="5">
        <v>38</v>
      </c>
      <c r="E19" s="35"/>
      <c r="F19" s="35"/>
      <c r="G19" t="s" s="6">
        <v>44</v>
      </c>
      <c r="H19" t="s" s="6">
        <v>1</v>
      </c>
      <c r="I19" t="s" s="6">
        <v>44</v>
      </c>
      <c r="J19" t="s" s="6">
        <v>40</v>
      </c>
      <c r="K19" t="s" s="6">
        <v>1</v>
      </c>
    </row>
    <row r="20" ht="70.0" customHeight="true">
      <c r="A20" s="35"/>
      <c r="C20" s="35"/>
      <c r="D20" t="s" s="5">
        <v>38</v>
      </c>
      <c r="E20" s="35"/>
      <c r="F20" s="35"/>
      <c r="G20" t="s" s="6">
        <v>45</v>
      </c>
      <c r="H20" t="s" s="6">
        <v>1</v>
      </c>
      <c r="I20" t="s" s="6">
        <v>45</v>
      </c>
      <c r="J20" t="s" s="6">
        <v>40</v>
      </c>
      <c r="K20" t="s" s="6">
        <v>1</v>
      </c>
    </row>
    <row r="21" ht="70.0" customHeight="true">
      <c r="A21" s="35"/>
      <c r="C21" s="35"/>
      <c r="D21" t="s" s="5">
        <v>38</v>
      </c>
      <c r="E21" s="35"/>
      <c r="F21" s="35"/>
      <c r="G21" t="s" s="6">
        <v>46</v>
      </c>
      <c r="H21" t="s" s="6">
        <v>1</v>
      </c>
      <c r="I21" t="s" s="6">
        <v>46</v>
      </c>
      <c r="J21" t="s" s="6">
        <v>40</v>
      </c>
      <c r="K21" t="s" s="6">
        <v>1</v>
      </c>
    </row>
    <row r="22" ht="70.0" customHeight="true">
      <c r="A22" s="35"/>
      <c r="C22" s="35"/>
      <c r="D22" t="s" s="5">
        <v>38</v>
      </c>
      <c r="E22" s="35"/>
      <c r="F22" s="35"/>
      <c r="G22" t="s" s="6">
        <v>47</v>
      </c>
      <c r="H22" t="s" s="6">
        <v>1</v>
      </c>
      <c r="I22" t="s" s="6">
        <v>47</v>
      </c>
      <c r="J22" t="s" s="6">
        <v>40</v>
      </c>
      <c r="K22" t="s" s="6">
        <v>1</v>
      </c>
    </row>
    <row r="23" ht="70.0" customHeight="true">
      <c r="A23" s="35"/>
      <c r="C23" s="35"/>
      <c r="D23" t="s" s="5">
        <v>38</v>
      </c>
      <c r="E23" s="35"/>
      <c r="F23" s="35"/>
      <c r="G23" t="s" s="6">
        <v>48</v>
      </c>
      <c r="H23" t="s" s="6">
        <v>1</v>
      </c>
      <c r="I23" t="s" s="6">
        <v>48</v>
      </c>
      <c r="J23" t="s" s="6">
        <v>40</v>
      </c>
      <c r="K23" t="s" s="6">
        <v>1</v>
      </c>
    </row>
    <row r="24" ht="70.0" customHeight="true">
      <c r="A24" s="35"/>
      <c r="C24" s="35"/>
      <c r="D24" t="s" s="5">
        <v>38</v>
      </c>
      <c r="E24" s="35"/>
      <c r="F24" s="35"/>
      <c r="G24" t="s" s="6">
        <v>49</v>
      </c>
      <c r="H24" t="s" s="6">
        <v>1</v>
      </c>
      <c r="I24" t="s" s="6">
        <v>49</v>
      </c>
      <c r="J24" t="s" s="6">
        <v>40</v>
      </c>
      <c r="K24" t="s" s="6">
        <v>1</v>
      </c>
    </row>
    <row r="25" ht="70.0" customHeight="true">
      <c r="A25" s="35"/>
      <c r="C25" s="35"/>
      <c r="D25" t="s" s="5">
        <v>38</v>
      </c>
      <c r="E25" s="35"/>
      <c r="F25" s="35"/>
      <c r="G25" t="s" s="6">
        <v>50</v>
      </c>
      <c r="H25" t="s" s="6">
        <v>1</v>
      </c>
      <c r="I25" t="s" s="6">
        <v>50</v>
      </c>
      <c r="J25" t="s" s="6">
        <v>40</v>
      </c>
      <c r="K25" t="s" s="6">
        <v>1</v>
      </c>
    </row>
    <row r="26" ht="70.0" customHeight="true">
      <c r="A26" s="35"/>
      <c r="C26" s="35"/>
      <c r="D26" t="s" s="5">
        <v>38</v>
      </c>
      <c r="E26" s="35"/>
      <c r="F26" s="35"/>
      <c r="G26" t="s" s="6">
        <v>51</v>
      </c>
      <c r="H26" t="s" s="6">
        <v>1</v>
      </c>
      <c r="I26" t="s" s="6">
        <v>51</v>
      </c>
      <c r="J26" t="s" s="6">
        <v>40</v>
      </c>
      <c r="K26" t="s" s="6">
        <v>1</v>
      </c>
    </row>
    <row r="27" ht="70.0" customHeight="true">
      <c r="A27" s="35"/>
      <c r="C27" s="35"/>
      <c r="D27" t="s" s="5">
        <v>38</v>
      </c>
      <c r="E27" s="35"/>
      <c r="F27" s="35"/>
      <c r="G27" t="s" s="6">
        <v>52</v>
      </c>
      <c r="H27" t="s" s="6">
        <v>1</v>
      </c>
      <c r="I27" t="s" s="6">
        <v>52</v>
      </c>
      <c r="J27" t="s" s="6">
        <v>40</v>
      </c>
      <c r="K27" t="s" s="6">
        <v>1</v>
      </c>
    </row>
    <row r="28" ht="70.0" customHeight="true">
      <c r="A28" s="35"/>
      <c r="C28" s="35"/>
      <c r="D28" t="s" s="5">
        <v>38</v>
      </c>
      <c r="E28" s="35"/>
      <c r="F28" s="35"/>
      <c r="G28" t="s" s="6">
        <v>53</v>
      </c>
      <c r="H28" t="s" s="6">
        <v>1</v>
      </c>
      <c r="I28" t="s" s="6">
        <v>54</v>
      </c>
      <c r="J28" t="s" s="6">
        <v>40</v>
      </c>
      <c r="K28" t="s" s="6">
        <v>1</v>
      </c>
    </row>
    <row r="29" ht="70.0" customHeight="true">
      <c r="A29" s="35"/>
      <c r="C29" s="35"/>
      <c r="D29" t="s" s="5">
        <v>38</v>
      </c>
      <c r="E29" s="35"/>
      <c r="F29" s="35"/>
      <c r="G29" t="s" s="6">
        <v>55</v>
      </c>
      <c r="H29" t="s" s="6">
        <v>1</v>
      </c>
      <c r="I29" t="s" s="6">
        <v>54</v>
      </c>
      <c r="J29" t="s" s="6">
        <v>40</v>
      </c>
      <c r="K29" t="s" s="6">
        <v>1</v>
      </c>
    </row>
    <row r="30" ht="70.0" customHeight="true">
      <c r="A30" s="35"/>
      <c r="C30" s="35"/>
      <c r="D30" t="s" s="5">
        <v>38</v>
      </c>
      <c r="E30" s="35"/>
      <c r="F30" s="35"/>
      <c r="G30" t="s" s="6">
        <v>56</v>
      </c>
      <c r="H30" t="s" s="6">
        <v>1</v>
      </c>
      <c r="I30" t="s" s="6">
        <v>54</v>
      </c>
      <c r="J30" t="s" s="6">
        <v>40</v>
      </c>
      <c r="K30" t="s" s="6">
        <v>1</v>
      </c>
    </row>
    <row r="31" ht="70.0" customHeight="true">
      <c r="A31" s="35"/>
      <c r="C31" s="35"/>
      <c r="D31" t="s" s="5">
        <v>38</v>
      </c>
      <c r="E31" s="35"/>
      <c r="F31" s="35"/>
      <c r="G31" t="s" s="6">
        <v>57</v>
      </c>
      <c r="H31" t="s" s="6">
        <v>1</v>
      </c>
      <c r="I31" t="s" s="6">
        <v>54</v>
      </c>
      <c r="J31" t="s" s="6">
        <v>40</v>
      </c>
      <c r="K31" t="s" s="6">
        <v>1</v>
      </c>
    </row>
    <row r="32" ht="70.0" customHeight="true">
      <c r="A32" s="35"/>
      <c r="C32" s="35"/>
      <c r="D32" t="s" s="5">
        <v>38</v>
      </c>
      <c r="E32" s="35"/>
      <c r="F32" s="35"/>
      <c r="G32" t="s" s="6">
        <v>58</v>
      </c>
      <c r="H32" t="s" s="6">
        <v>1</v>
      </c>
      <c r="I32" t="s" s="6">
        <v>58</v>
      </c>
      <c r="J32" t="s" s="6">
        <v>40</v>
      </c>
      <c r="K32" t="s" s="6">
        <v>1</v>
      </c>
    </row>
    <row r="33" ht="70.0" customHeight="true">
      <c r="A33" s="35"/>
      <c r="C33" s="35"/>
      <c r="D33" t="s" s="5">
        <v>38</v>
      </c>
      <c r="E33" s="35"/>
      <c r="F33" s="35"/>
      <c r="G33" t="s" s="6">
        <v>59</v>
      </c>
      <c r="H33" t="s" s="6">
        <v>1</v>
      </c>
      <c r="I33" t="s" s="6">
        <v>59</v>
      </c>
      <c r="J33" t="s" s="6">
        <v>17</v>
      </c>
      <c r="K33" t="s" s="6">
        <v>1</v>
      </c>
    </row>
    <row r="34" ht="70.0" customHeight="true">
      <c r="A34" s="35"/>
      <c r="B34" s="36"/>
      <c r="C34" s="37"/>
      <c r="D34" t="s" s="5">
        <v>38</v>
      </c>
      <c r="E34" s="37"/>
      <c r="F34" s="37"/>
      <c r="G34" t="s" s="6">
        <v>60</v>
      </c>
      <c r="H34" t="s" s="6">
        <v>1</v>
      </c>
      <c r="I34" t="s" s="6">
        <v>60</v>
      </c>
      <c r="J34" t="s" s="6">
        <v>17</v>
      </c>
      <c r="K34" t="s" s="6">
        <v>1</v>
      </c>
    </row>
    <row r="35" ht="70.0" customHeight="true">
      <c r="A35" s="30"/>
      <c r="B35" t="s" s="38">
        <v>61</v>
      </c>
      <c r="C35" s="30"/>
      <c r="D35" t="s" s="39">
        <v>35</v>
      </c>
      <c r="E35" s="30"/>
      <c r="F35" t="s" s="40">
        <v>62</v>
      </c>
      <c r="G35" s="40"/>
      <c r="H35" s="40"/>
      <c r="I35" s="40"/>
      <c r="J35" s="40"/>
      <c r="K35" s="40"/>
    </row>
    <row r="36" ht="18.0" customHeight="true">
      <c r="A36" t="s" s="9">
        <v>63</v>
      </c>
      <c r="B36" t="s" s="9">
        <v>64</v>
      </c>
      <c r="C36" s="35"/>
      <c r="D36" t="s" s="5">
        <v>66</v>
      </c>
      <c r="E36" t="s" s="5">
        <v>67</v>
      </c>
      <c r="F36" t="s" s="6">
        <v>65</v>
      </c>
      <c r="G36" t="s" s="6">
        <v>68</v>
      </c>
      <c r="H36" t="s" s="6">
        <v>1</v>
      </c>
      <c r="I36" t="s" s="6">
        <v>69</v>
      </c>
      <c r="J36" t="s" s="6">
        <v>17</v>
      </c>
      <c r="K36" t="s" s="6">
        <v>1</v>
      </c>
    </row>
    <row r="37" ht="70.0" customHeight="true">
      <c r="A37" s="35"/>
      <c r="B37" t="s" s="9">
        <v>64</v>
      </c>
      <c r="C37" s="37"/>
      <c r="D37" t="s" s="5">
        <v>70</v>
      </c>
      <c r="E37" t="s" s="5">
        <v>35</v>
      </c>
      <c r="F37" t="s" s="6">
        <v>65</v>
      </c>
      <c r="G37" t="s" s="6">
        <v>68</v>
      </c>
      <c r="H37" t="s" s="6">
        <v>1</v>
      </c>
      <c r="I37" t="s" s="6">
        <v>69</v>
      </c>
      <c r="J37" t="s" s="6">
        <v>17</v>
      </c>
      <c r="K37" t="s" s="6">
        <v>1</v>
      </c>
    </row>
    <row r="38" ht="70.0" customHeight="true">
      <c r="A38" s="30"/>
      <c r="B38" t="s" s="38">
        <v>71</v>
      </c>
      <c r="C38" s="30"/>
      <c r="D38" t="s" s="39">
        <v>35</v>
      </c>
      <c r="E38" s="30"/>
      <c r="F38" t="s" s="40">
        <v>72</v>
      </c>
      <c r="G38" s="40"/>
      <c r="H38" s="40"/>
      <c r="I38" s="40"/>
      <c r="J38" s="40"/>
      <c r="K38" s="40"/>
    </row>
    <row r="39" ht="70.0" customHeight="true">
      <c r="A39" t="s" s="9">
        <v>73</v>
      </c>
      <c r="B39" t="s" s="9">
        <v>74</v>
      </c>
      <c r="C39" s="37"/>
      <c r="D39" t="s" s="5">
        <v>35</v>
      </c>
      <c r="E39" s="37"/>
      <c r="F39" t="s" s="6">
        <v>75</v>
      </c>
      <c r="G39" s="6"/>
      <c r="H39" s="6"/>
      <c r="I39" s="6"/>
      <c r="J39" s="6"/>
      <c r="K39" s="6"/>
    </row>
    <row r="40" ht="70.0" customHeight="true">
      <c r="A40" s="35"/>
      <c r="B40" t="s" s="9">
        <v>76</v>
      </c>
      <c r="C40" s="37"/>
      <c r="D40" t="s" s="5">
        <v>35</v>
      </c>
      <c r="E40" s="37"/>
      <c r="F40" t="s" s="6">
        <v>77</v>
      </c>
      <c r="G40" s="6"/>
      <c r="H40" s="6"/>
      <c r="I40" s="6"/>
      <c r="J40" s="6"/>
      <c r="K40" s="6"/>
    </row>
    <row r="41" ht="70.0" customHeight="true">
      <c r="A41" s="35"/>
      <c r="B41" t="s" s="9">
        <v>78</v>
      </c>
      <c r="C41" s="37"/>
      <c r="D41" t="s" s="5">
        <v>35</v>
      </c>
      <c r="E41" s="37"/>
      <c r="F41" t="s" s="6">
        <v>79</v>
      </c>
      <c r="G41" s="6"/>
      <c r="H41" s="6"/>
      <c r="I41" s="6"/>
      <c r="J41" s="6"/>
      <c r="K41" s="6"/>
    </row>
    <row r="42" ht="70.0" customHeight="true">
      <c r="A42" s="35"/>
      <c r="B42" t="s" s="9">
        <v>80</v>
      </c>
      <c r="C42" s="37"/>
      <c r="D42" t="s" s="5">
        <v>35</v>
      </c>
      <c r="E42" s="37"/>
      <c r="F42" t="s" s="6">
        <v>81</v>
      </c>
      <c r="G42" s="6"/>
      <c r="H42" s="6"/>
      <c r="I42" s="6"/>
      <c r="J42" s="6"/>
      <c r="K42" s="6"/>
    </row>
    <row r="43" ht="70.0" customHeight="true">
      <c r="A43" s="30"/>
      <c r="B43" t="s" s="38">
        <v>82</v>
      </c>
      <c r="C43" s="30"/>
      <c r="D43" t="s" s="39">
        <v>84</v>
      </c>
      <c r="E43" s="30"/>
      <c r="F43" t="s" s="40">
        <v>83</v>
      </c>
      <c r="G43" t="s" s="40">
        <v>85</v>
      </c>
      <c r="H43" t="s" s="40">
        <v>1</v>
      </c>
      <c r="I43" t="s" s="40">
        <v>85</v>
      </c>
      <c r="J43" t="s" s="40">
        <v>86</v>
      </c>
      <c r="K43" t="s" s="40">
        <v>1</v>
      </c>
    </row>
    <row r="44" ht="70.0" customHeight="true">
      <c r="A44" t="s" s="9">
        <v>87</v>
      </c>
      <c r="B44" t="s" s="9">
        <v>88</v>
      </c>
      <c r="C44" s="37"/>
      <c r="D44" t="s" s="5">
        <v>90</v>
      </c>
      <c r="E44" s="37"/>
      <c r="F44" t="s" s="6">
        <v>89</v>
      </c>
      <c r="G44" t="s" s="6">
        <v>91</v>
      </c>
      <c r="H44" t="s" s="6">
        <v>1</v>
      </c>
      <c r="I44" t="s" s="6">
        <v>91</v>
      </c>
      <c r="J44" t="s" s="6">
        <v>17</v>
      </c>
      <c r="K44" t="s" s="6">
        <v>1</v>
      </c>
    </row>
    <row r="45" ht="70.0" customHeight="true">
      <c r="A45" s="35"/>
      <c r="B45" t="s" s="9">
        <v>92</v>
      </c>
      <c r="C45" s="37"/>
      <c r="D45" t="s" s="5">
        <v>35</v>
      </c>
      <c r="E45" s="37"/>
      <c r="F45" t="s" s="6">
        <v>93</v>
      </c>
      <c r="G45" s="6"/>
      <c r="H45" s="6"/>
      <c r="I45" s="6"/>
      <c r="J45" s="6"/>
      <c r="K45" s="6"/>
    </row>
    <row r="46" ht="70.0" customHeight="true">
      <c r="A46" s="35"/>
      <c r="B46" t="s" s="9">
        <v>94</v>
      </c>
      <c r="C46" s="35"/>
      <c r="D46" t="s" s="5">
        <v>96</v>
      </c>
      <c r="E46" s="35"/>
      <c r="F46" t="s" s="6">
        <v>95</v>
      </c>
      <c r="G46" t="s" s="6">
        <v>97</v>
      </c>
      <c r="H46" t="s" s="6">
        <v>1</v>
      </c>
      <c r="I46" t="s" s="6">
        <v>97</v>
      </c>
      <c r="J46" t="s" s="6">
        <v>17</v>
      </c>
      <c r="K46" t="s" s="6">
        <v>1</v>
      </c>
    </row>
    <row r="47" ht="70.0" customHeight="true">
      <c r="A47" s="35"/>
      <c r="C47" s="35"/>
      <c r="D47" t="s" s="5">
        <v>96</v>
      </c>
      <c r="E47" s="35"/>
      <c r="F47" s="35"/>
      <c r="G47" t="s" s="6">
        <v>98</v>
      </c>
      <c r="H47" t="s" s="6">
        <v>1</v>
      </c>
      <c r="I47" t="s" s="6">
        <v>98</v>
      </c>
      <c r="J47" t="s" s="6">
        <v>17</v>
      </c>
      <c r="K47" t="s" s="6">
        <v>1</v>
      </c>
    </row>
    <row r="48" ht="70.0" customHeight="true">
      <c r="A48" s="35"/>
      <c r="C48" s="35"/>
      <c r="D48" t="s" s="5">
        <v>96</v>
      </c>
      <c r="E48" s="35"/>
      <c r="F48" s="35"/>
      <c r="G48" t="s" s="6">
        <v>99</v>
      </c>
      <c r="H48" t="s" s="6">
        <v>1</v>
      </c>
      <c r="I48" t="s" s="6">
        <v>99</v>
      </c>
      <c r="J48" t="s" s="6">
        <v>17</v>
      </c>
      <c r="K48" t="s" s="6">
        <v>1</v>
      </c>
    </row>
    <row r="49" ht="70.0" customHeight="true">
      <c r="A49" s="35"/>
      <c r="C49" s="35"/>
      <c r="D49" t="s" s="5">
        <v>96</v>
      </c>
      <c r="E49" s="35"/>
      <c r="F49" s="35"/>
      <c r="G49" t="s" s="6">
        <v>100</v>
      </c>
      <c r="H49" t="s" s="6">
        <v>1</v>
      </c>
      <c r="I49" t="s" s="6">
        <v>100</v>
      </c>
      <c r="J49" t="s" s="6">
        <v>17</v>
      </c>
      <c r="K49" t="s" s="6">
        <v>1</v>
      </c>
    </row>
    <row r="50" ht="70.0" customHeight="true">
      <c r="A50" s="35"/>
      <c r="C50" s="35"/>
      <c r="D50" t="s" s="5">
        <v>96</v>
      </c>
      <c r="E50" s="35"/>
      <c r="F50" s="35"/>
      <c r="G50" t="s" s="6">
        <v>101</v>
      </c>
      <c r="H50" t="s" s="6">
        <v>1</v>
      </c>
      <c r="I50" t="s" s="6">
        <v>101</v>
      </c>
      <c r="J50" t="s" s="6">
        <v>17</v>
      </c>
      <c r="K50" t="s" s="6">
        <v>1</v>
      </c>
    </row>
    <row r="51" ht="70.0" customHeight="true">
      <c r="A51" s="35"/>
      <c r="C51" s="35"/>
      <c r="D51" t="s" s="5">
        <v>96</v>
      </c>
      <c r="E51" s="35"/>
      <c r="F51" s="35"/>
      <c r="G51" t="s" s="6">
        <v>102</v>
      </c>
      <c r="H51" t="s" s="6">
        <v>1</v>
      </c>
      <c r="I51" t="s" s="6">
        <v>102</v>
      </c>
      <c r="J51" t="s" s="6">
        <v>17</v>
      </c>
      <c r="K51" t="s" s="6">
        <v>1</v>
      </c>
    </row>
    <row r="52" ht="70.0" customHeight="true">
      <c r="A52" s="35"/>
      <c r="C52" s="35"/>
      <c r="D52" t="s" s="5">
        <v>96</v>
      </c>
      <c r="E52" s="35"/>
      <c r="F52" s="35"/>
      <c r="G52" t="s" s="6">
        <v>103</v>
      </c>
      <c r="H52" t="s" s="6">
        <v>1</v>
      </c>
      <c r="I52" t="s" s="6">
        <v>103</v>
      </c>
      <c r="J52" t="s" s="6">
        <v>17</v>
      </c>
      <c r="K52" t="s" s="6">
        <v>1</v>
      </c>
    </row>
    <row r="53" ht="70.0" customHeight="true">
      <c r="A53" s="35"/>
      <c r="C53" s="35"/>
      <c r="D53" t="s" s="5">
        <v>96</v>
      </c>
      <c r="E53" s="35"/>
      <c r="F53" s="35"/>
      <c r="G53" t="s" s="6">
        <v>104</v>
      </c>
      <c r="H53" t="s" s="6">
        <v>1</v>
      </c>
      <c r="I53" t="s" s="6">
        <v>104</v>
      </c>
      <c r="J53" t="s" s="6">
        <v>17</v>
      </c>
      <c r="K53" t="s" s="6">
        <v>1</v>
      </c>
    </row>
    <row r="54" ht="70.0" customHeight="true">
      <c r="A54" s="35"/>
      <c r="C54" s="35"/>
      <c r="D54" t="s" s="5">
        <v>96</v>
      </c>
      <c r="E54" s="35"/>
      <c r="F54" s="35"/>
      <c r="G54" t="s" s="6">
        <v>105</v>
      </c>
      <c r="H54" t="s" s="6">
        <v>1</v>
      </c>
      <c r="I54" t="s" s="6">
        <v>105</v>
      </c>
      <c r="J54" t="s" s="6">
        <v>17</v>
      </c>
      <c r="K54" t="s" s="6">
        <v>1</v>
      </c>
    </row>
    <row r="55" ht="70.0" customHeight="true">
      <c r="A55" s="35"/>
      <c r="C55" s="35"/>
      <c r="D55" t="s" s="5">
        <v>96</v>
      </c>
      <c r="E55" s="35"/>
      <c r="F55" s="35"/>
      <c r="G55" t="s" s="6">
        <v>106</v>
      </c>
      <c r="H55" t="s" s="6">
        <v>1</v>
      </c>
      <c r="I55" t="s" s="6">
        <v>106</v>
      </c>
      <c r="J55" t="s" s="6">
        <v>17</v>
      </c>
      <c r="K55" t="s" s="6">
        <v>1</v>
      </c>
    </row>
    <row r="56" ht="70.0" customHeight="true">
      <c r="A56" s="35"/>
      <c r="C56" s="35"/>
      <c r="D56" t="s" s="5">
        <v>96</v>
      </c>
      <c r="E56" s="35"/>
      <c r="F56" s="35"/>
      <c r="G56" t="s" s="6">
        <v>107</v>
      </c>
      <c r="H56" t="s" s="6">
        <v>1</v>
      </c>
      <c r="I56" t="s" s="6">
        <v>107</v>
      </c>
      <c r="J56" t="s" s="6">
        <v>17</v>
      </c>
      <c r="K56" t="s" s="6">
        <v>1</v>
      </c>
    </row>
    <row r="57" ht="70.0" customHeight="true">
      <c r="A57" s="35"/>
      <c r="C57" s="35"/>
      <c r="D57" t="s" s="5">
        <v>96</v>
      </c>
      <c r="E57" s="35"/>
      <c r="F57" s="35"/>
      <c r="G57" t="s" s="6">
        <v>108</v>
      </c>
      <c r="H57" t="s" s="6">
        <v>1</v>
      </c>
      <c r="I57" t="s" s="6">
        <v>108</v>
      </c>
      <c r="J57" t="s" s="6">
        <v>17</v>
      </c>
      <c r="K57" t="s" s="6">
        <v>1</v>
      </c>
    </row>
    <row r="58" ht="70.0" customHeight="true">
      <c r="A58" s="35"/>
      <c r="C58" s="35"/>
      <c r="D58" t="s" s="5">
        <v>96</v>
      </c>
      <c r="E58" s="35"/>
      <c r="F58" s="35"/>
      <c r="G58" t="s" s="6">
        <v>109</v>
      </c>
      <c r="H58" t="s" s="6">
        <v>1</v>
      </c>
      <c r="I58" t="s" s="6">
        <v>109</v>
      </c>
      <c r="J58" t="s" s="6">
        <v>17</v>
      </c>
      <c r="K58" t="s" s="6">
        <v>1</v>
      </c>
    </row>
    <row r="59" ht="70.0" customHeight="true">
      <c r="A59" s="35"/>
      <c r="C59" s="35"/>
      <c r="D59" t="s" s="5">
        <v>96</v>
      </c>
      <c r="E59" s="35"/>
      <c r="F59" s="35"/>
      <c r="G59" t="s" s="6">
        <v>110</v>
      </c>
      <c r="H59" t="s" s="6">
        <v>1</v>
      </c>
      <c r="I59" t="s" s="6">
        <v>110</v>
      </c>
      <c r="J59" t="s" s="6">
        <v>17</v>
      </c>
      <c r="K59" t="s" s="6">
        <v>1</v>
      </c>
    </row>
    <row r="60" ht="70.0" customHeight="true">
      <c r="A60" s="35"/>
      <c r="B60" s="36"/>
      <c r="C60" s="37"/>
      <c r="D60" t="s" s="5">
        <v>96</v>
      </c>
      <c r="E60" s="37"/>
      <c r="F60" s="37"/>
      <c r="G60" t="s" s="6">
        <v>111</v>
      </c>
      <c r="H60" t="s" s="6">
        <v>1</v>
      </c>
      <c r="I60" t="s" s="6">
        <v>111</v>
      </c>
      <c r="J60" t="s" s="6">
        <v>17</v>
      </c>
      <c r="K60" t="s" s="6">
        <v>1</v>
      </c>
    </row>
    <row r="61" ht="70.0" customHeight="true">
      <c r="A61" s="35"/>
      <c r="B61" t="s" s="9">
        <v>112</v>
      </c>
      <c r="C61" s="37"/>
      <c r="D61" t="s" s="5">
        <v>35</v>
      </c>
      <c r="E61" s="37"/>
      <c r="F61" t="s" s="6">
        <v>113</v>
      </c>
      <c r="G61" s="6"/>
      <c r="H61" s="6"/>
      <c r="I61" s="6"/>
      <c r="J61" s="6"/>
      <c r="K61" s="6"/>
    </row>
    <row r="62" ht="70.0" customHeight="true">
      <c r="A62" s="30"/>
      <c r="B62" t="s" s="38">
        <v>114</v>
      </c>
      <c r="C62" s="30"/>
      <c r="D62" t="s" s="39">
        <v>35</v>
      </c>
      <c r="E62" s="30"/>
      <c r="F62" t="s" s="40">
        <v>115</v>
      </c>
      <c r="G62" s="40"/>
      <c r="H62" s="40"/>
      <c r="I62" s="40"/>
      <c r="J62" s="40"/>
      <c r="K62" s="40"/>
    </row>
    <row r="63" ht="70.0" customHeight="true">
      <c r="A63" t="s" s="9">
        <v>116</v>
      </c>
      <c r="B63" t="s" s="9">
        <v>117</v>
      </c>
      <c r="C63" s="37"/>
      <c r="D63" t="s" s="5">
        <v>35</v>
      </c>
      <c r="E63" s="37"/>
      <c r="F63" t="s" s="6">
        <v>118</v>
      </c>
      <c r="G63" s="6"/>
      <c r="H63" s="6"/>
      <c r="I63" s="6"/>
      <c r="J63" s="6"/>
      <c r="K63" s="6"/>
    </row>
    <row r="64" ht="70.0" customHeight="true">
      <c r="A64" s="35"/>
      <c r="B64" t="s" s="9">
        <v>119</v>
      </c>
      <c r="C64" s="37"/>
      <c r="D64" t="s" s="5">
        <v>35</v>
      </c>
      <c r="E64" s="37"/>
      <c r="F64" t="s" s="6">
        <v>120</v>
      </c>
      <c r="G64" s="6"/>
      <c r="H64" s="6"/>
      <c r="I64" s="6"/>
      <c r="J64" s="6"/>
      <c r="K64" s="6"/>
    </row>
    <row r="65" ht="70.0" customHeight="true">
      <c r="A65" s="35"/>
      <c r="B65" t="s" s="9">
        <v>121</v>
      </c>
      <c r="C65" s="37"/>
      <c r="D65" t="s" s="5">
        <v>35</v>
      </c>
      <c r="E65" s="37"/>
      <c r="F65" t="s" s="6">
        <v>122</v>
      </c>
      <c r="G65" s="6"/>
      <c r="H65" s="6"/>
      <c r="I65" s="6"/>
      <c r="J65" s="6"/>
      <c r="K65" s="6"/>
    </row>
    <row r="66" ht="70.0" customHeight="true">
      <c r="A66" s="30"/>
      <c r="B66" t="s" s="38">
        <v>123</v>
      </c>
      <c r="C66" s="30"/>
      <c r="D66" t="s" s="39">
        <v>35</v>
      </c>
      <c r="E66" s="30"/>
      <c r="F66" t="s" s="40">
        <v>124</v>
      </c>
      <c r="G66" s="40"/>
      <c r="H66" s="40"/>
      <c r="I66" s="40"/>
      <c r="J66" s="40"/>
      <c r="K66" s="40"/>
    </row>
    <row r="67" ht="70.0" customHeight="true">
      <c r="A67" t="s" s="38">
        <v>125</v>
      </c>
      <c r="B67" t="s" s="38">
        <v>126</v>
      </c>
      <c r="C67" s="30"/>
      <c r="D67" t="s" s="39">
        <v>35</v>
      </c>
      <c r="E67" s="30"/>
      <c r="F67" t="s" s="40">
        <v>127</v>
      </c>
      <c r="G67" s="40"/>
      <c r="H67" s="40"/>
      <c r="I67" s="40"/>
      <c r="J67" s="40"/>
      <c r="K67" s="40"/>
    </row>
    <row r="68" ht="18.0" customHeight="true">
      <c r="A68" t="s" s="8">
        <v>128</v>
      </c>
      <c r="C68" s="35"/>
      <c r="D68" t="s" s="8">
        <v>66</v>
      </c>
      <c r="E68" t="s" s="8">
        <v>67</v>
      </c>
      <c r="F68" t="s" s="6">
        <v>1</v>
      </c>
      <c r="G68" s="36"/>
      <c r="H68" s="36"/>
      <c r="I68" s="36"/>
      <c r="J68" s="36"/>
      <c r="K68" s="44"/>
    </row>
    <row r="69" ht="18.0" customHeight="true">
      <c r="A69" s="26"/>
      <c r="B69" s="26"/>
      <c r="C69" s="30"/>
      <c r="D69" t="s" s="42">
        <v>129</v>
      </c>
      <c r="E69" t="s" s="42">
        <v>130</v>
      </c>
      <c r="F69" t="s" s="40">
        <v>131</v>
      </c>
      <c r="G69" s="26"/>
      <c r="H69" s="26"/>
      <c r="I69" s="26"/>
      <c r="J69" s="26"/>
      <c r="K69" s="43"/>
    </row>
    <row r="70" ht="20.0" customHeight="true">
      <c r="A70" t="s" s="8">
        <v>132</v>
      </c>
      <c r="B70" t="s" s="8">
        <v>133</v>
      </c>
      <c r="C70" t="s" s="8">
        <v>134</v>
      </c>
      <c r="D70" t="s" s="8">
        <v>135</v>
      </c>
      <c r="E70" t="s" s="8">
        <v>136</v>
      </c>
      <c r="F70" t="s" s="8">
        <v>137</v>
      </c>
      <c r="G70" t="s" s="8">
        <v>138</v>
      </c>
      <c r="H70" t="s" s="8">
        <v>139</v>
      </c>
      <c r="I70" t="s" s="8">
        <v>140</v>
      </c>
      <c r="J70" s="36"/>
      <c r="K70" s="44"/>
    </row>
    <row r="71" ht="60.0" customHeight="true">
      <c r="A71" s="30"/>
      <c r="B71" t="s" s="42">
        <v>141</v>
      </c>
      <c r="C71" t="s" s="42">
        <v>142</v>
      </c>
      <c r="D71" t="s" s="42">
        <v>143</v>
      </c>
      <c r="E71" t="s" s="42">
        <v>144</v>
      </c>
      <c r="F71" t="s" s="42">
        <v>35</v>
      </c>
      <c r="G71" t="s" s="42">
        <v>35</v>
      </c>
      <c r="H71" t="s" s="42">
        <v>35</v>
      </c>
      <c r="I71" t="s" s="42">
        <v>130</v>
      </c>
      <c r="J71" s="26"/>
      <c r="K71" s="43"/>
    </row>
    <row r="72" ht="20.0" customHeight="true">
      <c r="A72" t="s" s="8">
        <v>145</v>
      </c>
      <c r="B72" t="s" s="8">
        <v>133</v>
      </c>
      <c r="C72" t="s" s="8">
        <v>134</v>
      </c>
      <c r="D72" t="s" s="8">
        <v>135</v>
      </c>
      <c r="E72" t="s" s="8">
        <v>136</v>
      </c>
      <c r="F72" t="s" s="8">
        <v>137</v>
      </c>
      <c r="G72" t="s" s="8">
        <v>138</v>
      </c>
      <c r="H72" t="s" s="8">
        <v>139</v>
      </c>
      <c r="I72" t="s" s="8">
        <v>140</v>
      </c>
      <c r="J72" s="36"/>
      <c r="K72" s="44"/>
    </row>
    <row r="73" ht="60.0" customHeight="true">
      <c r="A73" s="30"/>
      <c r="B73" t="s" s="42">
        <v>146</v>
      </c>
      <c r="C73" t="s" s="42">
        <v>142</v>
      </c>
      <c r="D73" t="s" s="42">
        <v>143</v>
      </c>
      <c r="E73" t="s" s="42">
        <v>144</v>
      </c>
      <c r="F73" t="s" s="42">
        <v>35</v>
      </c>
      <c r="G73" t="s" s="42">
        <v>35</v>
      </c>
      <c r="H73" t="s" s="42">
        <v>35</v>
      </c>
      <c r="I73" t="s" s="42">
        <v>147</v>
      </c>
      <c r="J73" s="26"/>
      <c r="K73" s="43"/>
    </row>
    <row r="74" ht="100.0" customHeight="true">
      <c r="A74" t="s" s="4">
        <v>148</v>
      </c>
      <c r="B74" s="36"/>
      <c r="C74" s="36"/>
      <c r="D74" s="36"/>
      <c r="E74" s="36"/>
      <c r="F74" s="36"/>
      <c r="G74" s="36"/>
      <c r="H74" s="36"/>
      <c r="I74" s="36"/>
      <c r="J74" s="36"/>
      <c r="K74" s="37"/>
    </row>
  </sheetData>
  <mergeCells count="73">
    <mergeCell ref="A1:K1"/>
    <mergeCell ref="A2:C3"/>
    <mergeCell ref="D2:E2"/>
    <mergeCell ref="F2:K2"/>
    <mergeCell ref="D3:E3"/>
    <mergeCell ref="B4:C11"/>
    <mergeCell ref="D4:E11"/>
    <mergeCell ref="F4:F11"/>
    <mergeCell ref="B12:C13"/>
    <mergeCell ref="D12:E13"/>
    <mergeCell ref="F12:F13"/>
    <mergeCell ref="B14:C14"/>
    <mergeCell ref="D14:E14"/>
    <mergeCell ref="B15:C34"/>
    <mergeCell ref="D15:E34"/>
    <mergeCell ref="F15:F34"/>
    <mergeCell ref="B35:C35"/>
    <mergeCell ref="D35:E35"/>
    <mergeCell ref="A4:A35"/>
    <mergeCell ref="G36:G37"/>
    <mergeCell ref="H36:H37"/>
    <mergeCell ref="I36:I37"/>
    <mergeCell ref="J36:J37"/>
    <mergeCell ref="K36:K37"/>
    <mergeCell ref="B36:C37"/>
    <mergeCell ref="F36:F37"/>
    <mergeCell ref="B38:C38"/>
    <mergeCell ref="D38:E38"/>
    <mergeCell ref="A36:A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A39:A43"/>
    <mergeCell ref="B44:C44"/>
    <mergeCell ref="D44:E44"/>
    <mergeCell ref="B45:C45"/>
    <mergeCell ref="D45:E45"/>
    <mergeCell ref="B46:C60"/>
    <mergeCell ref="D46:E60"/>
    <mergeCell ref="F46:F60"/>
    <mergeCell ref="B61:C61"/>
    <mergeCell ref="D61:E61"/>
    <mergeCell ref="B62:C62"/>
    <mergeCell ref="D62:E62"/>
    <mergeCell ref="A44:A62"/>
    <mergeCell ref="B63:C63"/>
    <mergeCell ref="D63:E63"/>
    <mergeCell ref="B64:C64"/>
    <mergeCell ref="D64:E64"/>
    <mergeCell ref="B65:C65"/>
    <mergeCell ref="D65:E65"/>
    <mergeCell ref="B66:C66"/>
    <mergeCell ref="D66:E66"/>
    <mergeCell ref="A63:A66"/>
    <mergeCell ref="B67:C67"/>
    <mergeCell ref="D67:E67"/>
    <mergeCell ref="A68:C69"/>
    <mergeCell ref="F68:K68"/>
    <mergeCell ref="F69:K69"/>
    <mergeCell ref="A70:A71"/>
    <mergeCell ref="I70:K70"/>
    <mergeCell ref="I71:K71"/>
    <mergeCell ref="A72:A73"/>
    <mergeCell ref="I72:K72"/>
    <mergeCell ref="I73:K73"/>
    <mergeCell ref="A74:K7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R37"/>
  <sheetViews>
    <sheetView workbookViewId="0"/>
  </sheetViews>
  <sheetFormatPr defaultRowHeight="15.0"/>
  <cols>
    <col min="1" max="1" width="9.0" customWidth="true"/>
    <col min="2" max="2" width="20.0" customWidth="true"/>
    <col min="3" max="3" width="19.0" customWidth="true"/>
    <col min="4" max="4" width="19.0" customWidth="true"/>
    <col min="5" max="5" width="20.0" customWidth="true"/>
    <col min="6" max="6" width="30.0" customWidth="true"/>
    <col min="7" max="7" width="15.0" customWidth="true"/>
    <col min="8" max="8" width="10.0" customWidth="true"/>
    <col min="9" max="9" width="74.0" customWidth="true"/>
    <col min="10" max="10" width="33.0" customWidth="true"/>
    <col min="11" max="11" width="40.0" customWidth="true"/>
    <col min="12" max="12" width="14.0" customWidth="true"/>
    <col min="13" max="13" width="3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45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9.0" customWidth="true"/>
    <col min="40" max="40" width="17.0" customWidth="true"/>
    <col min="41" max="41" width="17.0" customWidth="true"/>
    <col min="42" max="42" width="15.0" customWidth="true"/>
    <col min="43" max="43" width="15.0" customWidth="true"/>
    <col min="44" max="44" width="20.0" customWidth="true"/>
  </cols>
  <sheetData>
    <row r="1"/>
    <row r="2">
      <c r="B2" t="s" s="2">
        <v>232</v>
      </c>
      <c r="I2" t="s" s="12">
        <v>233</v>
      </c>
      <c r="J2" s="11">
        <f>D3 + 'Emission Inventory Scope 2-6'!D2</f>
      </c>
      <c r="K2" t="s" s="13">
        <v>155</v>
      </c>
    </row>
    <row r="3">
      <c r="B3" t="s" s="69">
        <v>234</v>
      </c>
      <c r="C3" s="23"/>
      <c r="D3" s="79">
        <f>SUM(AJ6:AJ36)</f>
      </c>
      <c r="E3" s="23"/>
      <c r="F3" t="s" s="69">
        <v>155</v>
      </c>
      <c r="G3" t="s" s="69">
        <v>235</v>
      </c>
      <c r="H3" t="s" s="69">
        <v>236</v>
      </c>
      <c r="I3" t="s" s="69">
        <v>6</v>
      </c>
      <c r="J3" t="s" s="69">
        <v>237</v>
      </c>
      <c r="K3" t="s" s="69">
        <v>164</v>
      </c>
      <c r="L3" t="s" s="69">
        <v>165</v>
      </c>
      <c r="M3" t="s" s="71">
        <v>164</v>
      </c>
      <c r="N3" t="s" s="69">
        <v>167</v>
      </c>
      <c r="O3" s="23"/>
      <c r="P3" s="23"/>
      <c r="Q3" s="23"/>
      <c r="R3" s="23"/>
      <c r="S3" s="23"/>
      <c r="T3" s="23"/>
      <c r="U3" t="s" s="71">
        <v>9</v>
      </c>
      <c r="V3" t="s" s="69">
        <v>238</v>
      </c>
      <c r="W3" s="23"/>
      <c r="X3" s="23"/>
      <c r="Y3" s="23"/>
      <c r="Z3" s="23"/>
      <c r="AA3" s="23"/>
      <c r="AB3" s="29"/>
      <c r="AC3" t="s" s="69">
        <v>239</v>
      </c>
      <c r="AD3" s="23"/>
      <c r="AE3" s="23"/>
      <c r="AF3" s="23"/>
      <c r="AG3" s="23"/>
      <c r="AH3" s="23"/>
      <c r="AI3" s="29"/>
      <c r="AJ3" t="s" s="69">
        <v>169</v>
      </c>
      <c r="AK3" t="s" s="69">
        <v>240</v>
      </c>
      <c r="AL3" t="s" s="71">
        <v>241</v>
      </c>
      <c r="AM3" t="s" s="69">
        <v>170</v>
      </c>
      <c r="AN3" t="s" s="69">
        <v>171</v>
      </c>
      <c r="AO3" t="s" s="71">
        <v>172</v>
      </c>
      <c r="AP3" t="s" s="69">
        <v>242</v>
      </c>
      <c r="AQ3" t="s" s="69">
        <v>7</v>
      </c>
      <c r="AR3" t="s" s="69">
        <v>243</v>
      </c>
    </row>
    <row r="4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  <c r="N4" t="s" s="70">
        <v>133</v>
      </c>
      <c r="O4" t="s" s="70">
        <v>134</v>
      </c>
      <c r="P4" t="s" s="70">
        <v>135</v>
      </c>
      <c r="Q4" t="s" s="70">
        <v>136</v>
      </c>
      <c r="R4" t="s" s="70">
        <v>137</v>
      </c>
      <c r="S4" t="s" s="70">
        <v>138</v>
      </c>
      <c r="T4" t="s" s="70">
        <v>139</v>
      </c>
      <c r="U4" s="37"/>
      <c r="V4" t="s" s="70">
        <v>133</v>
      </c>
      <c r="W4" t="s" s="70">
        <v>134</v>
      </c>
      <c r="X4" t="s" s="70">
        <v>135</v>
      </c>
      <c r="Y4" t="s" s="70">
        <v>136</v>
      </c>
      <c r="Z4" t="s" s="70">
        <v>137</v>
      </c>
      <c r="AA4" t="s" s="70">
        <v>138</v>
      </c>
      <c r="AB4" t="s" s="72">
        <v>139</v>
      </c>
      <c r="AC4" t="s" s="70">
        <v>133</v>
      </c>
      <c r="AD4" t="s" s="70">
        <v>134</v>
      </c>
      <c r="AE4" t="s" s="70">
        <v>135</v>
      </c>
      <c r="AF4" t="s" s="70">
        <v>136</v>
      </c>
      <c r="AG4" t="s" s="70">
        <v>137</v>
      </c>
      <c r="AH4" t="s" s="70">
        <v>138</v>
      </c>
      <c r="AI4" t="s" s="72">
        <v>139</v>
      </c>
      <c r="AJ4" s="36"/>
      <c r="AK4" s="36"/>
      <c r="AL4" s="37"/>
      <c r="AM4" s="36"/>
      <c r="AN4" s="36"/>
      <c r="AO4" s="37"/>
      <c r="AP4" s="36"/>
      <c r="AQ4" s="36"/>
      <c r="AR4" s="36"/>
    </row>
    <row r="5">
      <c r="B5" t="s" s="16">
        <v>244</v>
      </c>
      <c r="C5" t="s" s="16">
        <v>245</v>
      </c>
      <c r="G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</row>
    <row r="6">
      <c r="A6" s="35"/>
      <c r="B6" t="s" s="62">
        <v>246</v>
      </c>
      <c r="C6" t="s" s="51">
        <v>12</v>
      </c>
      <c r="D6" s="46"/>
      <c r="E6" s="46"/>
      <c r="F6" s="63"/>
      <c r="G6" t="s" s="58">
        <v>247</v>
      </c>
      <c r="H6" t="s" s="75">
        <v>176</v>
      </c>
      <c r="I6" t="s" s="58">
        <v>15</v>
      </c>
      <c r="J6" t="s" s="58">
        <v>16</v>
      </c>
      <c r="K6" s="59">
        <f>AM6*AO6</f>
      </c>
      <c r="L6" t="s" s="58">
        <v>248</v>
      </c>
      <c r="M6" t="s" s="58">
        <v>1</v>
      </c>
      <c r="N6" t="s" s="59">
        <v>249</v>
      </c>
      <c r="O6" t="s" s="59">
        <v>250</v>
      </c>
      <c r="P6" t="s" s="59">
        <v>251</v>
      </c>
      <c r="Q6" t="s" s="59">
        <v>35</v>
      </c>
      <c r="R6" t="s" s="59">
        <v>35</v>
      </c>
      <c r="S6" t="s" s="59">
        <v>35</v>
      </c>
      <c r="T6" t="s" s="59">
        <v>35</v>
      </c>
      <c r="U6" t="s" s="58">
        <v>17</v>
      </c>
      <c r="V6" t="s" s="59">
        <v>252</v>
      </c>
      <c r="W6" t="s" s="59">
        <v>253</v>
      </c>
      <c r="X6" t="s" s="59">
        <v>254</v>
      </c>
      <c r="Y6" t="s" s="59">
        <v>35</v>
      </c>
      <c r="Z6" t="s" s="59">
        <v>35</v>
      </c>
      <c r="AA6" t="s" s="59">
        <v>35</v>
      </c>
      <c r="AB6" t="s" s="59">
        <v>35</v>
      </c>
      <c r="AC6" s="59">
        <f>K6*N6*V6/1000</f>
      </c>
      <c r="AD6" s="59">
        <f>K6*O6*W6/1000</f>
      </c>
      <c r="AE6" s="59">
        <f>K6*P6*X6/1000</f>
      </c>
      <c r="AF6" s="59">
        <f>K6*Q6*Y6/1000</f>
      </c>
      <c r="AG6" s="59">
        <f>K6*R6*Z6/1000</f>
      </c>
      <c r="AH6" s="59">
        <f>K6*S6*AA6/1000</f>
      </c>
      <c r="AI6" s="59">
        <f>K6*T6*AB6/1000</f>
      </c>
      <c r="AJ6" s="59">
        <f>SUM(AC6:AI6)</f>
      </c>
      <c r="AK6" s="76">
        <f>AJ6/(D3 +SUM('Emission Inventory Scope 2-6'!W4,'Emission Inventory Scope 2-6'!W5))</f>
      </c>
      <c r="AL6" s="76">
        <f>AJ6/(D3 +'Emission Inventory Scope 2-6'!D2)</f>
      </c>
      <c r="AM6" t="s" s="59">
        <v>255</v>
      </c>
      <c r="AN6" t="s" s="58">
        <v>248</v>
      </c>
      <c r="AO6" t="s" s="58">
        <v>182</v>
      </c>
      <c r="AP6" t="s" s="59">
        <v>1</v>
      </c>
      <c r="AQ6" t="s" s="59">
        <v>1</v>
      </c>
      <c r="AR6" t="s" s="59">
        <v>1</v>
      </c>
    </row>
    <row r="7">
      <c r="A7" s="35"/>
      <c r="B7" s="35"/>
      <c r="F7" s="35"/>
      <c r="G7" t="s" s="64">
        <v>247</v>
      </c>
      <c r="H7" s="35"/>
      <c r="I7" t="s" s="64">
        <v>18</v>
      </c>
      <c r="J7" t="s" s="64">
        <v>16</v>
      </c>
      <c r="K7" s="65">
        <f>AM7*AO7</f>
      </c>
      <c r="L7" t="s" s="64">
        <v>248</v>
      </c>
      <c r="M7" t="s" s="64">
        <v>1</v>
      </c>
      <c r="N7" t="s" s="65">
        <v>249</v>
      </c>
      <c r="O7" t="s" s="65">
        <v>250</v>
      </c>
      <c r="P7" t="s" s="65">
        <v>251</v>
      </c>
      <c r="Q7" t="s" s="65">
        <v>35</v>
      </c>
      <c r="R7" t="s" s="65">
        <v>35</v>
      </c>
      <c r="S7" t="s" s="65">
        <v>35</v>
      </c>
      <c r="T7" t="s" s="65">
        <v>35</v>
      </c>
      <c r="U7" t="s" s="64">
        <v>17</v>
      </c>
      <c r="V7" t="s" s="65">
        <v>252</v>
      </c>
      <c r="W7" t="s" s="65">
        <v>253</v>
      </c>
      <c r="X7" t="s" s="65">
        <v>254</v>
      </c>
      <c r="Y7" t="s" s="65">
        <v>35</v>
      </c>
      <c r="Z7" t="s" s="65">
        <v>35</v>
      </c>
      <c r="AA7" t="s" s="65">
        <v>35</v>
      </c>
      <c r="AB7" t="s" s="65">
        <v>35</v>
      </c>
      <c r="AC7" s="65">
        <f>K7*N7*V7/1000</f>
      </c>
      <c r="AD7" s="65">
        <f>K7*O7*W7/1000</f>
      </c>
      <c r="AE7" s="65">
        <f>K7*P7*X7/1000</f>
      </c>
      <c r="AF7" s="65">
        <f>K7*Q7*Y7/1000</f>
      </c>
      <c r="AG7" s="65">
        <f>K7*R7*Z7/1000</f>
      </c>
      <c r="AH7" s="65">
        <f>K7*S7*AA7/1000</f>
      </c>
      <c r="AI7" s="65">
        <f>K7*T7*AB7/1000</f>
      </c>
      <c r="AJ7" s="65">
        <f>SUM(AC7:AI7)</f>
      </c>
      <c r="AK7" s="77">
        <f>AJ7/(D3 +SUM('Emission Inventory Scope 2-6'!W4,'Emission Inventory Scope 2-6'!W5))</f>
      </c>
      <c r="AL7" s="77">
        <f>AJ7/(D3 +'Emission Inventory Scope 2-6'!D2)</f>
      </c>
      <c r="AM7" t="s" s="65">
        <v>256</v>
      </c>
      <c r="AN7" t="s" s="64">
        <v>248</v>
      </c>
      <c r="AO7" t="s" s="64">
        <v>182</v>
      </c>
      <c r="AP7" t="s" s="65">
        <v>1</v>
      </c>
      <c r="AQ7" t="s" s="65">
        <v>1</v>
      </c>
      <c r="AR7" t="s" s="65">
        <v>1</v>
      </c>
    </row>
    <row r="8">
      <c r="A8" s="35"/>
      <c r="B8" s="35"/>
      <c r="F8" s="35"/>
      <c r="G8" t="s" s="64">
        <v>247</v>
      </c>
      <c r="H8" s="35"/>
      <c r="I8" t="s" s="64">
        <v>19</v>
      </c>
      <c r="J8" t="s" s="64">
        <v>16</v>
      </c>
      <c r="K8" s="65">
        <f>AM8*AO8</f>
      </c>
      <c r="L8" t="s" s="64">
        <v>248</v>
      </c>
      <c r="M8" t="s" s="64">
        <v>1</v>
      </c>
      <c r="N8" t="s" s="65">
        <v>249</v>
      </c>
      <c r="O8" t="s" s="65">
        <v>250</v>
      </c>
      <c r="P8" t="s" s="65">
        <v>251</v>
      </c>
      <c r="Q8" t="s" s="65">
        <v>35</v>
      </c>
      <c r="R8" t="s" s="65">
        <v>35</v>
      </c>
      <c r="S8" t="s" s="65">
        <v>35</v>
      </c>
      <c r="T8" t="s" s="65">
        <v>35</v>
      </c>
      <c r="U8" t="s" s="64">
        <v>17</v>
      </c>
      <c r="V8" t="s" s="65">
        <v>252</v>
      </c>
      <c r="W8" t="s" s="65">
        <v>253</v>
      </c>
      <c r="X8" t="s" s="65">
        <v>254</v>
      </c>
      <c r="Y8" t="s" s="65">
        <v>35</v>
      </c>
      <c r="Z8" t="s" s="65">
        <v>35</v>
      </c>
      <c r="AA8" t="s" s="65">
        <v>35</v>
      </c>
      <c r="AB8" t="s" s="65">
        <v>35</v>
      </c>
      <c r="AC8" s="65">
        <f>K8*N8*V8/1000</f>
      </c>
      <c r="AD8" s="65">
        <f>K8*O8*W8/1000</f>
      </c>
      <c r="AE8" s="65">
        <f>K8*P8*X8/1000</f>
      </c>
      <c r="AF8" s="65">
        <f>K8*Q8*Y8/1000</f>
      </c>
      <c r="AG8" s="65">
        <f>K8*R8*Z8/1000</f>
      </c>
      <c r="AH8" s="65">
        <f>K8*S8*AA8/1000</f>
      </c>
      <c r="AI8" s="65">
        <f>K8*T8*AB8/1000</f>
      </c>
      <c r="AJ8" s="65">
        <f>SUM(AC8:AI8)</f>
      </c>
      <c r="AK8" s="77">
        <f>AJ8/(D3 +SUM('Emission Inventory Scope 2-6'!W4,'Emission Inventory Scope 2-6'!W5))</f>
      </c>
      <c r="AL8" s="77">
        <f>AJ8/(D3 +'Emission Inventory Scope 2-6'!D2)</f>
      </c>
      <c r="AM8" t="s" s="65">
        <v>257</v>
      </c>
      <c r="AN8" t="s" s="64">
        <v>248</v>
      </c>
      <c r="AO8" t="s" s="64">
        <v>182</v>
      </c>
      <c r="AP8" t="s" s="65">
        <v>1</v>
      </c>
      <c r="AQ8" t="s" s="65">
        <v>1</v>
      </c>
      <c r="AR8" t="s" s="65">
        <v>1</v>
      </c>
    </row>
    <row r="9">
      <c r="A9" s="35"/>
      <c r="B9" s="35"/>
      <c r="F9" s="35"/>
      <c r="G9" t="s" s="64">
        <v>247</v>
      </c>
      <c r="H9" s="35"/>
      <c r="I9" t="s" s="64">
        <v>20</v>
      </c>
      <c r="J9" t="s" s="64">
        <v>258</v>
      </c>
      <c r="K9" s="65">
        <f>AM9*AO9</f>
      </c>
      <c r="L9" t="s" s="64">
        <v>192</v>
      </c>
      <c r="M9" t="s" s="64">
        <v>1</v>
      </c>
      <c r="N9" t="s" s="65">
        <v>259</v>
      </c>
      <c r="O9" t="s" s="65">
        <v>260</v>
      </c>
      <c r="P9" t="s" s="65">
        <v>261</v>
      </c>
      <c r="Q9" t="s" s="65">
        <v>35</v>
      </c>
      <c r="R9" t="s" s="65">
        <v>35</v>
      </c>
      <c r="S9" t="s" s="65">
        <v>35</v>
      </c>
      <c r="T9" t="s" s="65">
        <v>35</v>
      </c>
      <c r="U9" t="s" s="64">
        <v>17</v>
      </c>
      <c r="V9" t="s" s="65">
        <v>252</v>
      </c>
      <c r="W9" t="s" s="65">
        <v>253</v>
      </c>
      <c r="X9" t="s" s="65">
        <v>254</v>
      </c>
      <c r="Y9" t="s" s="65">
        <v>35</v>
      </c>
      <c r="Z9" t="s" s="65">
        <v>35</v>
      </c>
      <c r="AA9" t="s" s="65">
        <v>35</v>
      </c>
      <c r="AB9" t="s" s="65">
        <v>35</v>
      </c>
      <c r="AC9" s="65">
        <f>K9*N9*V9/1000</f>
      </c>
      <c r="AD9" s="65">
        <f>K9*O9*W9/1000</f>
      </c>
      <c r="AE9" s="65">
        <f>K9*P9*X9/1000</f>
      </c>
      <c r="AF9" s="65">
        <f>K9*Q9*Y9/1000</f>
      </c>
      <c r="AG9" s="65">
        <f>K9*R9*Z9/1000</f>
      </c>
      <c r="AH9" s="65">
        <f>K9*S9*AA9/1000</f>
      </c>
      <c r="AI9" s="65">
        <f>K9*T9*AB9/1000</f>
      </c>
      <c r="AJ9" s="65">
        <f>SUM(AC9:AI9)</f>
      </c>
      <c r="AK9" s="77">
        <f>AJ9/(D3 +SUM('Emission Inventory Scope 2-6'!W4,'Emission Inventory Scope 2-6'!W5))</f>
      </c>
      <c r="AL9" s="77">
        <f>AJ9/(D3 +'Emission Inventory Scope 2-6'!D2)</f>
      </c>
      <c r="AM9" t="s" s="65">
        <v>262</v>
      </c>
      <c r="AN9" t="s" s="64">
        <v>192</v>
      </c>
      <c r="AO9" t="s" s="64">
        <v>182</v>
      </c>
      <c r="AP9" t="s" s="65">
        <v>1</v>
      </c>
      <c r="AQ9" t="s" s="65">
        <v>1</v>
      </c>
      <c r="AR9" t="s" s="65">
        <v>1</v>
      </c>
    </row>
    <row r="10">
      <c r="A10" s="35"/>
      <c r="B10" s="35"/>
      <c r="F10" s="35"/>
      <c r="G10" t="s" s="64">
        <v>247</v>
      </c>
      <c r="H10" s="35"/>
      <c r="I10" t="s" s="64">
        <v>22</v>
      </c>
      <c r="J10" t="s" s="64">
        <v>263</v>
      </c>
      <c r="K10" s="65">
        <f>AM10*AO10</f>
      </c>
      <c r="L10" t="s" s="64">
        <v>192</v>
      </c>
      <c r="M10" t="s" s="64">
        <v>1</v>
      </c>
      <c r="N10" t="s" s="65">
        <v>264</v>
      </c>
      <c r="O10" t="s" s="65">
        <v>265</v>
      </c>
      <c r="P10" t="s" s="65">
        <v>266</v>
      </c>
      <c r="Q10" t="s" s="65">
        <v>35</v>
      </c>
      <c r="R10" t="s" s="65">
        <v>35</v>
      </c>
      <c r="S10" t="s" s="65">
        <v>35</v>
      </c>
      <c r="T10" t="s" s="65">
        <v>35</v>
      </c>
      <c r="U10" t="s" s="64">
        <v>17</v>
      </c>
      <c r="V10" t="s" s="65">
        <v>252</v>
      </c>
      <c r="W10" t="s" s="65">
        <v>253</v>
      </c>
      <c r="X10" t="s" s="65">
        <v>254</v>
      </c>
      <c r="Y10" t="s" s="65">
        <v>35</v>
      </c>
      <c r="Z10" t="s" s="65">
        <v>35</v>
      </c>
      <c r="AA10" t="s" s="65">
        <v>35</v>
      </c>
      <c r="AB10" t="s" s="65">
        <v>35</v>
      </c>
      <c r="AC10" s="65">
        <f>K10*N10*V10/1000</f>
      </c>
      <c r="AD10" s="65">
        <f>K10*O10*W10/1000</f>
      </c>
      <c r="AE10" s="65">
        <f>K10*P10*X10/1000</f>
      </c>
      <c r="AF10" s="65">
        <f>K10*Q10*Y10/1000</f>
      </c>
      <c r="AG10" s="65">
        <f>K10*R10*Z10/1000</f>
      </c>
      <c r="AH10" s="65">
        <f>K10*S10*AA10/1000</f>
      </c>
      <c r="AI10" s="65">
        <f>K10*T10*AB10/1000</f>
      </c>
      <c r="AJ10" s="65">
        <f>SUM(AC10:AI10)</f>
      </c>
      <c r="AK10" s="77">
        <f>AJ10/(D3 +SUM('Emission Inventory Scope 2-6'!W4,'Emission Inventory Scope 2-6'!W5))</f>
      </c>
      <c r="AL10" s="77">
        <f>AJ10/(D3 +'Emission Inventory Scope 2-6'!D2)</f>
      </c>
      <c r="AM10" t="s" s="65">
        <v>267</v>
      </c>
      <c r="AN10" t="s" s="64">
        <v>192</v>
      </c>
      <c r="AO10" t="s" s="64">
        <v>182</v>
      </c>
      <c r="AP10" t="s" s="65">
        <v>1</v>
      </c>
      <c r="AQ10" t="s" s="65">
        <v>1</v>
      </c>
      <c r="AR10" t="s" s="65">
        <v>1</v>
      </c>
    </row>
    <row r="11">
      <c r="A11" s="35"/>
      <c r="B11" s="35"/>
      <c r="F11" s="35"/>
      <c r="G11" t="s" s="64">
        <v>247</v>
      </c>
      <c r="H11" s="35"/>
      <c r="I11" t="s" s="64">
        <v>24</v>
      </c>
      <c r="J11" t="s" s="64">
        <v>268</v>
      </c>
      <c r="K11" s="65">
        <f>AM11*AO11</f>
      </c>
      <c r="L11" t="s" s="64">
        <v>192</v>
      </c>
      <c r="M11" t="s" s="64">
        <v>1</v>
      </c>
      <c r="N11" t="s" s="65">
        <v>269</v>
      </c>
      <c r="O11" t="s" s="65">
        <v>35</v>
      </c>
      <c r="P11" t="s" s="65">
        <v>35</v>
      </c>
      <c r="Q11" t="s" s="65">
        <v>35</v>
      </c>
      <c r="R11" t="s" s="65">
        <v>35</v>
      </c>
      <c r="S11" t="s" s="65">
        <v>35</v>
      </c>
      <c r="T11" t="s" s="65">
        <v>35</v>
      </c>
      <c r="U11" t="s" s="64">
        <v>17</v>
      </c>
      <c r="V11" t="s" s="65">
        <v>252</v>
      </c>
      <c r="W11" t="s" s="65">
        <v>35</v>
      </c>
      <c r="X11" t="s" s="65">
        <v>35</v>
      </c>
      <c r="Y11" t="s" s="65">
        <v>35</v>
      </c>
      <c r="Z11" t="s" s="65">
        <v>35</v>
      </c>
      <c r="AA11" t="s" s="65">
        <v>35</v>
      </c>
      <c r="AB11" t="s" s="65">
        <v>35</v>
      </c>
      <c r="AC11" s="65">
        <f>K11*N11*V11/1000</f>
      </c>
      <c r="AD11" s="65">
        <f>K11*O11*W11/1000</f>
      </c>
      <c r="AE11" s="65">
        <f>K11*P11*X11/1000</f>
      </c>
      <c r="AF11" s="65">
        <f>K11*Q11*Y11/1000</f>
      </c>
      <c r="AG11" s="65">
        <f>K11*R11*Z11/1000</f>
      </c>
      <c r="AH11" s="65">
        <f>K11*S11*AA11/1000</f>
      </c>
      <c r="AI11" s="65">
        <f>K11*T11*AB11/1000</f>
      </c>
      <c r="AJ11" s="65">
        <f>SUM(AC11:AI11)</f>
      </c>
      <c r="AK11" s="77">
        <f>AJ11/(D3 +SUM('Emission Inventory Scope 2-6'!W4,'Emission Inventory Scope 2-6'!W5))</f>
      </c>
      <c r="AL11" s="77">
        <f>AJ11/(D3 +'Emission Inventory Scope 2-6'!D2)</f>
      </c>
      <c r="AM11" t="s" s="65">
        <v>270</v>
      </c>
      <c r="AN11" t="s" s="64">
        <v>192</v>
      </c>
      <c r="AO11" t="s" s="64">
        <v>182</v>
      </c>
      <c r="AP11" t="s" s="65">
        <v>1</v>
      </c>
      <c r="AQ11" t="s" s="65">
        <v>1</v>
      </c>
      <c r="AR11" t="s" s="65">
        <v>1</v>
      </c>
    </row>
    <row r="12">
      <c r="A12" s="35"/>
      <c r="B12" s="35"/>
      <c r="F12" s="35"/>
      <c r="G12" t="s" s="64">
        <v>247</v>
      </c>
      <c r="H12" s="35"/>
      <c r="I12" t="s" s="64">
        <v>25</v>
      </c>
      <c r="J12" t="s" s="64">
        <v>271</v>
      </c>
      <c r="K12" s="65">
        <f>AM12*AO12</f>
      </c>
      <c r="L12" t="s" s="64">
        <v>192</v>
      </c>
      <c r="M12" t="s" s="64">
        <v>1</v>
      </c>
      <c r="N12" t="s" s="65">
        <v>272</v>
      </c>
      <c r="O12" t="s" s="65">
        <v>35</v>
      </c>
      <c r="P12" t="s" s="65">
        <v>35</v>
      </c>
      <c r="Q12" t="s" s="65">
        <v>35</v>
      </c>
      <c r="R12" t="s" s="65">
        <v>35</v>
      </c>
      <c r="S12" t="s" s="65">
        <v>35</v>
      </c>
      <c r="T12" t="s" s="65">
        <v>35</v>
      </c>
      <c r="U12" t="s" s="64">
        <v>17</v>
      </c>
      <c r="V12" t="s" s="65">
        <v>252</v>
      </c>
      <c r="W12" t="s" s="65">
        <v>35</v>
      </c>
      <c r="X12" t="s" s="65">
        <v>35</v>
      </c>
      <c r="Y12" t="s" s="65">
        <v>35</v>
      </c>
      <c r="Z12" t="s" s="65">
        <v>35</v>
      </c>
      <c r="AA12" t="s" s="65">
        <v>35</v>
      </c>
      <c r="AB12" t="s" s="65">
        <v>35</v>
      </c>
      <c r="AC12" s="65">
        <f>K12*N12*V12/1000</f>
      </c>
      <c r="AD12" s="65">
        <f>K12*O12*W12/1000</f>
      </c>
      <c r="AE12" s="65">
        <f>K12*P12*X12/1000</f>
      </c>
      <c r="AF12" s="65">
        <f>K12*Q12*Y12/1000</f>
      </c>
      <c r="AG12" s="65">
        <f>K12*R12*Z12/1000</f>
      </c>
      <c r="AH12" s="65">
        <f>K12*S12*AA12/1000</f>
      </c>
      <c r="AI12" s="65">
        <f>K12*T12*AB12/1000</f>
      </c>
      <c r="AJ12" s="65">
        <f>SUM(AC12:AI12)</f>
      </c>
      <c r="AK12" s="77">
        <f>AJ12/(D3 +SUM('Emission Inventory Scope 2-6'!W4,'Emission Inventory Scope 2-6'!W5))</f>
      </c>
      <c r="AL12" s="77">
        <f>AJ12/(D3 +'Emission Inventory Scope 2-6'!D2)</f>
      </c>
      <c r="AM12" t="s" s="65">
        <v>273</v>
      </c>
      <c r="AN12" t="s" s="64">
        <v>192</v>
      </c>
      <c r="AO12" t="s" s="64">
        <v>182</v>
      </c>
      <c r="AP12" t="s" s="65">
        <v>1</v>
      </c>
      <c r="AQ12" t="s" s="65">
        <v>1</v>
      </c>
      <c r="AR12" t="s" s="65">
        <v>1</v>
      </c>
    </row>
    <row r="13">
      <c r="A13" s="35"/>
      <c r="B13" s="37"/>
      <c r="C13" s="36"/>
      <c r="D13" s="36"/>
      <c r="E13" s="36"/>
      <c r="F13" s="37"/>
      <c r="G13" t="s" s="64">
        <v>247</v>
      </c>
      <c r="H13" s="37"/>
      <c r="I13" t="s" s="64">
        <v>26</v>
      </c>
      <c r="J13" t="s" s="64">
        <v>274</v>
      </c>
      <c r="K13" s="65">
        <f>AM13*AO13</f>
      </c>
      <c r="L13" t="s" s="64">
        <v>192</v>
      </c>
      <c r="M13" t="s" s="64">
        <v>1</v>
      </c>
      <c r="N13" t="s" s="65">
        <v>275</v>
      </c>
      <c r="O13" t="s" s="65">
        <v>35</v>
      </c>
      <c r="P13" t="s" s="65">
        <v>35</v>
      </c>
      <c r="Q13" t="s" s="65">
        <v>35</v>
      </c>
      <c r="R13" t="s" s="65">
        <v>35</v>
      </c>
      <c r="S13" t="s" s="65">
        <v>35</v>
      </c>
      <c r="T13" t="s" s="65">
        <v>35</v>
      </c>
      <c r="U13" t="s" s="64">
        <v>17</v>
      </c>
      <c r="V13" t="s" s="65">
        <v>252</v>
      </c>
      <c r="W13" t="s" s="65">
        <v>35</v>
      </c>
      <c r="X13" t="s" s="65">
        <v>35</v>
      </c>
      <c r="Y13" t="s" s="65">
        <v>35</v>
      </c>
      <c r="Z13" t="s" s="65">
        <v>35</v>
      </c>
      <c r="AA13" t="s" s="65">
        <v>35</v>
      </c>
      <c r="AB13" t="s" s="65">
        <v>35</v>
      </c>
      <c r="AC13" s="65">
        <f>K13*N13*V13/1000</f>
      </c>
      <c r="AD13" s="65">
        <f>K13*O13*W13/1000</f>
      </c>
      <c r="AE13" s="65">
        <f>K13*P13*X13/1000</f>
      </c>
      <c r="AF13" s="65">
        <f>K13*Q13*Y13/1000</f>
      </c>
      <c r="AG13" s="65">
        <f>K13*R13*Z13/1000</f>
      </c>
      <c r="AH13" s="65">
        <f>K13*S13*AA13/1000</f>
      </c>
      <c r="AI13" s="65">
        <f>K13*T13*AB13/1000</f>
      </c>
      <c r="AJ13" s="65">
        <f>SUM(AC13:AI13)</f>
      </c>
      <c r="AK13" s="77">
        <f>AJ13/(D3 +SUM('Emission Inventory Scope 2-6'!W4,'Emission Inventory Scope 2-6'!W5))</f>
      </c>
      <c r="AL13" s="77">
        <f>AJ13/(D3 +'Emission Inventory Scope 2-6'!D2)</f>
      </c>
      <c r="AM13" t="s" s="65">
        <v>276</v>
      </c>
      <c r="AN13" t="s" s="64">
        <v>192</v>
      </c>
      <c r="AO13" t="s" s="64">
        <v>182</v>
      </c>
      <c r="AP13" t="s" s="65">
        <v>1</v>
      </c>
      <c r="AQ13" t="s" s="65">
        <v>1</v>
      </c>
      <c r="AR13" t="s" s="65">
        <v>1</v>
      </c>
    </row>
    <row r="14">
      <c r="A14" s="35"/>
      <c r="B14" t="s" s="62">
        <v>277</v>
      </c>
      <c r="C14" t="s" s="51">
        <v>27</v>
      </c>
      <c r="D14" s="46"/>
      <c r="E14" s="46"/>
      <c r="F14" s="63"/>
      <c r="G14" t="s" s="58">
        <v>278</v>
      </c>
      <c r="H14" t="s" s="75">
        <v>176</v>
      </c>
      <c r="I14" t="s" s="58">
        <v>30</v>
      </c>
      <c r="J14" t="s" s="58">
        <v>279</v>
      </c>
      <c r="K14" s="59">
        <f>AM14*AO14</f>
      </c>
      <c r="L14" t="s" s="58">
        <v>192</v>
      </c>
      <c r="M14" t="s" s="58">
        <v>1</v>
      </c>
      <c r="N14" t="s" s="59">
        <v>264</v>
      </c>
      <c r="O14" t="s" s="59">
        <v>280</v>
      </c>
      <c r="P14" t="s" s="59">
        <v>281</v>
      </c>
      <c r="Q14" t="s" s="59">
        <v>35</v>
      </c>
      <c r="R14" t="s" s="59">
        <v>35</v>
      </c>
      <c r="S14" t="s" s="59">
        <v>35</v>
      </c>
      <c r="T14" t="s" s="59">
        <v>35</v>
      </c>
      <c r="U14" t="s" s="58">
        <v>17</v>
      </c>
      <c r="V14" t="s" s="59">
        <v>252</v>
      </c>
      <c r="W14" t="s" s="59">
        <v>253</v>
      </c>
      <c r="X14" t="s" s="59">
        <v>254</v>
      </c>
      <c r="Y14" t="s" s="59">
        <v>35</v>
      </c>
      <c r="Z14" t="s" s="59">
        <v>35</v>
      </c>
      <c r="AA14" t="s" s="59">
        <v>35</v>
      </c>
      <c r="AB14" t="s" s="59">
        <v>35</v>
      </c>
      <c r="AC14" s="59">
        <f>K14*N14*V14/1000</f>
      </c>
      <c r="AD14" s="59">
        <f>K14*O14*W14/1000</f>
      </c>
      <c r="AE14" s="59">
        <f>K14*P14*X14/1000</f>
      </c>
      <c r="AF14" s="59">
        <f>K14*Q14*Y14/1000</f>
      </c>
      <c r="AG14" s="59">
        <f>K14*R14*Z14/1000</f>
      </c>
      <c r="AH14" s="59">
        <f>K14*S14*AA14/1000</f>
      </c>
      <c r="AI14" s="59">
        <f>K14*T14*AB14/1000</f>
      </c>
      <c r="AJ14" s="59">
        <f>SUM(AC14:AI14)</f>
      </c>
      <c r="AK14" s="76">
        <f>AJ14/(D3 +SUM('Emission Inventory Scope 2-6'!W4,'Emission Inventory Scope 2-6'!W5))</f>
      </c>
      <c r="AL14" s="76">
        <f>AJ14/(D3 +'Emission Inventory Scope 2-6'!D2)</f>
      </c>
      <c r="AM14" t="s" s="59">
        <v>282</v>
      </c>
      <c r="AN14" t="s" s="58">
        <v>192</v>
      </c>
      <c r="AO14" t="s" s="58">
        <v>182</v>
      </c>
      <c r="AP14" t="s" s="59">
        <v>1</v>
      </c>
      <c r="AQ14" t="s" s="59">
        <v>1</v>
      </c>
      <c r="AR14" t="s" s="59">
        <v>1</v>
      </c>
    </row>
    <row r="15">
      <c r="A15" s="35"/>
      <c r="B15" s="37"/>
      <c r="C15" s="36"/>
      <c r="D15" s="36"/>
      <c r="E15" s="36"/>
      <c r="F15" s="37"/>
      <c r="G15" t="s" s="64">
        <v>278</v>
      </c>
      <c r="H15" s="37"/>
      <c r="I15" t="s" s="64">
        <v>31</v>
      </c>
      <c r="J15" t="s" s="64">
        <v>32</v>
      </c>
      <c r="K15" s="65">
        <f>AM15*AO15</f>
      </c>
      <c r="L15" t="s" s="64">
        <v>192</v>
      </c>
      <c r="M15" t="s" s="64">
        <v>1</v>
      </c>
      <c r="N15" t="s" s="65">
        <v>259</v>
      </c>
      <c r="O15" t="s" s="65">
        <v>283</v>
      </c>
      <c r="P15" t="s" s="65">
        <v>283</v>
      </c>
      <c r="Q15" t="s" s="65">
        <v>35</v>
      </c>
      <c r="R15" t="s" s="65">
        <v>35</v>
      </c>
      <c r="S15" t="s" s="65">
        <v>35</v>
      </c>
      <c r="T15" t="s" s="65">
        <v>35</v>
      </c>
      <c r="U15" t="s" s="64">
        <v>17</v>
      </c>
      <c r="V15" t="s" s="65">
        <v>252</v>
      </c>
      <c r="W15" t="s" s="65">
        <v>253</v>
      </c>
      <c r="X15" t="s" s="65">
        <v>254</v>
      </c>
      <c r="Y15" t="s" s="65">
        <v>35</v>
      </c>
      <c r="Z15" t="s" s="65">
        <v>35</v>
      </c>
      <c r="AA15" t="s" s="65">
        <v>35</v>
      </c>
      <c r="AB15" t="s" s="65">
        <v>35</v>
      </c>
      <c r="AC15" s="65">
        <f>K15*N15*V15/1000</f>
      </c>
      <c r="AD15" s="65">
        <f>K15*O15*W15/1000</f>
      </c>
      <c r="AE15" s="65">
        <f>K15*P15*X15/1000</f>
      </c>
      <c r="AF15" s="65">
        <f>K15*Q15*Y15/1000</f>
      </c>
      <c r="AG15" s="65">
        <f>K15*R15*Z15/1000</f>
      </c>
      <c r="AH15" s="65">
        <f>K15*S15*AA15/1000</f>
      </c>
      <c r="AI15" s="65">
        <f>K15*T15*AB15/1000</f>
      </c>
      <c r="AJ15" s="65">
        <f>SUM(AC15:AI15)</f>
      </c>
      <c r="AK15" s="77">
        <f>AJ15/(D3 +SUM('Emission Inventory Scope 2-6'!W4,'Emission Inventory Scope 2-6'!W5))</f>
      </c>
      <c r="AL15" s="77">
        <f>AJ15/(D3 +'Emission Inventory Scope 2-6'!D2)</f>
      </c>
      <c r="AM15" t="s" s="65">
        <v>284</v>
      </c>
      <c r="AN15" t="s" s="64">
        <v>192</v>
      </c>
      <c r="AO15" t="s" s="64">
        <v>182</v>
      </c>
      <c r="AP15" t="s" s="65">
        <v>1</v>
      </c>
      <c r="AQ15" t="s" s="65">
        <v>1</v>
      </c>
      <c r="AR15" t="s" s="65">
        <v>1</v>
      </c>
    </row>
    <row r="16">
      <c r="A16" s="35"/>
      <c r="B16" t="s" s="57">
        <v>285</v>
      </c>
      <c r="C16" t="s" s="54">
        <v>33</v>
      </c>
      <c r="D16" s="48"/>
      <c r="E16" s="48"/>
      <c r="F16" s="49"/>
      <c r="G16" t="s" s="58">
        <v>1</v>
      </c>
      <c r="H16" t="s" s="58">
        <v>286</v>
      </c>
      <c r="I16" t="s" s="58">
        <v>1</v>
      </c>
      <c r="J16" t="s" s="58">
        <v>1</v>
      </c>
      <c r="K16" t="s" s="59">
        <v>1</v>
      </c>
      <c r="L16" t="s" s="58">
        <v>1</v>
      </c>
      <c r="M16" t="s" s="58">
        <v>1</v>
      </c>
      <c r="N16" t="s" s="59">
        <v>1</v>
      </c>
      <c r="O16" t="s" s="59">
        <v>1</v>
      </c>
      <c r="P16" t="s" s="59">
        <v>1</v>
      </c>
      <c r="Q16" t="s" s="59">
        <v>1</v>
      </c>
      <c r="R16" t="s" s="59">
        <v>1</v>
      </c>
      <c r="S16" t="s" s="59">
        <v>1</v>
      </c>
      <c r="T16" t="s" s="59">
        <v>1</v>
      </c>
      <c r="U16" t="s" s="58">
        <v>1</v>
      </c>
      <c r="V16" t="s" s="59">
        <v>1</v>
      </c>
      <c r="W16" t="s" s="59">
        <v>1</v>
      </c>
      <c r="X16" t="s" s="59">
        <v>1</v>
      </c>
      <c r="Y16" t="s" s="59">
        <v>1</v>
      </c>
      <c r="Z16" t="s" s="59">
        <v>1</v>
      </c>
      <c r="AA16" t="s" s="59">
        <v>1</v>
      </c>
      <c r="AB16" t="s" s="59">
        <v>1</v>
      </c>
      <c r="AC16" t="s" s="59">
        <v>1</v>
      </c>
      <c r="AD16" t="s" s="59">
        <v>1</v>
      </c>
      <c r="AE16" t="s" s="59">
        <v>1</v>
      </c>
      <c r="AF16" t="s" s="59">
        <v>1</v>
      </c>
      <c r="AG16" t="s" s="59">
        <v>1</v>
      </c>
      <c r="AH16" t="s" s="59">
        <v>1</v>
      </c>
      <c r="AI16" t="s" s="59">
        <v>1</v>
      </c>
      <c r="AJ16" t="s" s="59">
        <v>1</v>
      </c>
      <c r="AK16" t="s" s="76">
        <v>1</v>
      </c>
      <c r="AL16" t="s" s="76">
        <v>1</v>
      </c>
      <c r="AM16" t="s" s="59">
        <v>1</v>
      </c>
      <c r="AN16" t="s" s="58">
        <v>1</v>
      </c>
      <c r="AO16" t="s" s="58">
        <v>1</v>
      </c>
      <c r="AP16" t="s" s="59">
        <v>1</v>
      </c>
      <c r="AQ16" t="s" s="59">
        <v>1</v>
      </c>
      <c r="AR16" t="s" s="59">
        <v>1</v>
      </c>
    </row>
    <row r="17">
      <c r="A17" s="35"/>
      <c r="B17" t="s" s="62">
        <v>287</v>
      </c>
      <c r="C17" t="s" s="51">
        <v>36</v>
      </c>
      <c r="D17" s="46"/>
      <c r="E17" s="46"/>
      <c r="F17" s="63"/>
      <c r="G17" t="s" s="58">
        <v>288</v>
      </c>
      <c r="H17" t="s" s="75">
        <v>176</v>
      </c>
      <c r="I17" t="s" s="58">
        <v>39</v>
      </c>
      <c r="J17" t="s" s="58">
        <v>289</v>
      </c>
      <c r="K17" s="59">
        <f>AM17*AO17</f>
      </c>
      <c r="L17" t="s" s="58">
        <v>192</v>
      </c>
      <c r="M17" t="s" s="58">
        <v>1</v>
      </c>
      <c r="N17" t="s" s="59">
        <v>35</v>
      </c>
      <c r="O17" t="s" s="59">
        <v>35</v>
      </c>
      <c r="P17" t="s" s="59">
        <v>35</v>
      </c>
      <c r="Q17" t="s" s="59">
        <v>193</v>
      </c>
      <c r="R17" t="s" s="59">
        <v>35</v>
      </c>
      <c r="S17" t="s" s="59">
        <v>35</v>
      </c>
      <c r="T17" t="s" s="59">
        <v>35</v>
      </c>
      <c r="U17" t="s" s="58">
        <v>40</v>
      </c>
      <c r="V17" t="s" s="59">
        <v>35</v>
      </c>
      <c r="W17" t="s" s="59">
        <v>35</v>
      </c>
      <c r="X17" t="s" s="59">
        <v>35</v>
      </c>
      <c r="Y17" t="s" s="59">
        <v>290</v>
      </c>
      <c r="Z17" t="s" s="59">
        <v>35</v>
      </c>
      <c r="AA17" t="s" s="59">
        <v>35</v>
      </c>
      <c r="AB17" t="s" s="59">
        <v>35</v>
      </c>
      <c r="AC17" s="59">
        <f>K17*N17*V17*AR17*0.01/1000</f>
      </c>
      <c r="AD17" s="59">
        <f>K17*O17*W17*AR17*0.01/1000</f>
      </c>
      <c r="AE17" s="59">
        <f>K17*P17*X17*AR17*0.01/1000</f>
      </c>
      <c r="AF17" s="59">
        <f>K17*Q17*Y17*AR17*0.01/1000</f>
      </c>
      <c r="AG17" s="59">
        <f>K17*R17*Z17*AR17*0.01/1000</f>
      </c>
      <c r="AH17" s="59">
        <f>K17*S17*AA17*AR17*0.01/1000</f>
      </c>
      <c r="AI17" s="59">
        <f>K17*T17*AB17*AR17*0.01/1000</f>
      </c>
      <c r="AJ17" s="59">
        <f>SUM(AC17:AI17)</f>
      </c>
      <c r="AK17" s="76">
        <f>AJ17/(D3 +SUM('Emission Inventory Scope 2-6'!W4,'Emission Inventory Scope 2-6'!W5))</f>
      </c>
      <c r="AL17" s="76">
        <f>AJ17/(D3 +'Emission Inventory Scope 2-6'!D2)</f>
      </c>
      <c r="AM17" t="s" s="59">
        <v>291</v>
      </c>
      <c r="AN17" t="s" s="58">
        <v>192</v>
      </c>
      <c r="AO17" t="s" s="58">
        <v>182</v>
      </c>
      <c r="AP17" t="s" s="59">
        <v>292</v>
      </c>
      <c r="AQ17" t="s" s="59">
        <v>293</v>
      </c>
      <c r="AR17" t="s" s="59">
        <v>294</v>
      </c>
    </row>
    <row r="18">
      <c r="A18" s="35"/>
      <c r="B18" s="35"/>
      <c r="F18" s="35"/>
      <c r="G18" t="s" s="64">
        <v>288</v>
      </c>
      <c r="H18" s="35"/>
      <c r="I18" t="s" s="64">
        <v>41</v>
      </c>
      <c r="J18" t="s" s="64">
        <v>295</v>
      </c>
      <c r="K18" s="65">
        <f>AM18*AO18</f>
      </c>
      <c r="L18" t="s" s="64">
        <v>192</v>
      </c>
      <c r="M18" t="s" s="64">
        <v>1</v>
      </c>
      <c r="N18" t="s" s="65">
        <v>35</v>
      </c>
      <c r="O18" t="s" s="65">
        <v>35</v>
      </c>
      <c r="P18" t="s" s="65">
        <v>35</v>
      </c>
      <c r="Q18" t="s" s="65">
        <v>193</v>
      </c>
      <c r="R18" t="s" s="65">
        <v>35</v>
      </c>
      <c r="S18" t="s" s="65">
        <v>35</v>
      </c>
      <c r="T18" t="s" s="65">
        <v>35</v>
      </c>
      <c r="U18" t="s" s="64">
        <v>40</v>
      </c>
      <c r="V18" t="s" s="65">
        <v>35</v>
      </c>
      <c r="W18" t="s" s="65">
        <v>35</v>
      </c>
      <c r="X18" t="s" s="65">
        <v>35</v>
      </c>
      <c r="Y18" t="s" s="65">
        <v>296</v>
      </c>
      <c r="Z18" t="s" s="65">
        <v>35</v>
      </c>
      <c r="AA18" t="s" s="65">
        <v>35</v>
      </c>
      <c r="AB18" t="s" s="65">
        <v>35</v>
      </c>
      <c r="AC18" s="65">
        <f>K18*N18*V18*AR18*0.01/1000</f>
      </c>
      <c r="AD18" s="65">
        <f>K18*O18*W18*AR18*0.01/1000</f>
      </c>
      <c r="AE18" s="65">
        <f>K18*P18*X18*AR18*0.01/1000</f>
      </c>
      <c r="AF18" s="65">
        <f>K18*Q18*Y18*AR18*0.01/1000</f>
      </c>
      <c r="AG18" s="65">
        <f>K18*R18*Z18*AR18*0.01/1000</f>
      </c>
      <c r="AH18" s="65">
        <f>K18*S18*AA18*AR18*0.01/1000</f>
      </c>
      <c r="AI18" s="65">
        <f>K18*T18*AB18*AR18*0.01/1000</f>
      </c>
      <c r="AJ18" s="65">
        <f>SUM(AC18:AI18)</f>
      </c>
      <c r="AK18" s="77">
        <f>AJ18/(D3 +SUM('Emission Inventory Scope 2-6'!W4,'Emission Inventory Scope 2-6'!W5))</f>
      </c>
      <c r="AL18" s="77">
        <f>AJ18/(D3 +'Emission Inventory Scope 2-6'!D2)</f>
      </c>
      <c r="AM18" t="s" s="65">
        <v>297</v>
      </c>
      <c r="AN18" t="s" s="64">
        <v>192</v>
      </c>
      <c r="AO18" t="s" s="64">
        <v>182</v>
      </c>
      <c r="AP18" t="s" s="65">
        <v>292</v>
      </c>
      <c r="AQ18" t="s" s="65">
        <v>293</v>
      </c>
      <c r="AR18" t="s" s="65">
        <v>294</v>
      </c>
    </row>
    <row r="19">
      <c r="A19" s="35"/>
      <c r="B19" s="35"/>
      <c r="F19" s="35"/>
      <c r="G19" t="s" s="64">
        <v>288</v>
      </c>
      <c r="H19" s="35"/>
      <c r="I19" t="s" s="64">
        <v>42</v>
      </c>
      <c r="J19" t="s" s="64">
        <v>298</v>
      </c>
      <c r="K19" s="65">
        <f>AM19*AO19</f>
      </c>
      <c r="L19" t="s" s="64">
        <v>192</v>
      </c>
      <c r="M19" t="s" s="64">
        <v>1</v>
      </c>
      <c r="N19" t="s" s="65">
        <v>35</v>
      </c>
      <c r="O19" t="s" s="65">
        <v>35</v>
      </c>
      <c r="P19" t="s" s="65">
        <v>35</v>
      </c>
      <c r="Q19" t="s" s="65">
        <v>193</v>
      </c>
      <c r="R19" t="s" s="65">
        <v>35</v>
      </c>
      <c r="S19" t="s" s="65">
        <v>35</v>
      </c>
      <c r="T19" t="s" s="65">
        <v>35</v>
      </c>
      <c r="U19" t="s" s="64">
        <v>40</v>
      </c>
      <c r="V19" t="s" s="65">
        <v>35</v>
      </c>
      <c r="W19" t="s" s="65">
        <v>35</v>
      </c>
      <c r="X19" t="s" s="65">
        <v>35</v>
      </c>
      <c r="Y19" t="s" s="65">
        <v>299</v>
      </c>
      <c r="Z19" t="s" s="65">
        <v>35</v>
      </c>
      <c r="AA19" t="s" s="65">
        <v>35</v>
      </c>
      <c r="AB19" t="s" s="65">
        <v>35</v>
      </c>
      <c r="AC19" s="65">
        <f>K19*N19*V19*AR19*0.01/1000</f>
      </c>
      <c r="AD19" s="65">
        <f>K19*O19*W19*AR19*0.01/1000</f>
      </c>
      <c r="AE19" s="65">
        <f>K19*P19*X19*AR19*0.01/1000</f>
      </c>
      <c r="AF19" s="65">
        <f>K19*Q19*Y19*AR19*0.01/1000</f>
      </c>
      <c r="AG19" s="65">
        <f>K19*R19*Z19*AR19*0.01/1000</f>
      </c>
      <c r="AH19" s="65">
        <f>K19*S19*AA19*AR19*0.01/1000</f>
      </c>
      <c r="AI19" s="65">
        <f>K19*T19*AB19*AR19*0.01/1000</f>
      </c>
      <c r="AJ19" s="65">
        <f>SUM(AC19:AI19)</f>
      </c>
      <c r="AK19" s="77">
        <f>AJ19/(D3 +SUM('Emission Inventory Scope 2-6'!W4,'Emission Inventory Scope 2-6'!W5))</f>
      </c>
      <c r="AL19" s="77">
        <f>AJ19/(D3 +'Emission Inventory Scope 2-6'!D2)</f>
      </c>
      <c r="AM19" t="s" s="65">
        <v>300</v>
      </c>
      <c r="AN19" t="s" s="64">
        <v>192</v>
      </c>
      <c r="AO19" t="s" s="64">
        <v>182</v>
      </c>
      <c r="AP19" t="s" s="65">
        <v>292</v>
      </c>
      <c r="AQ19" t="s" s="65">
        <v>293</v>
      </c>
      <c r="AR19" t="s" s="65">
        <v>294</v>
      </c>
    </row>
    <row r="20">
      <c r="A20" s="35"/>
      <c r="B20" s="35"/>
      <c r="F20" s="35"/>
      <c r="G20" t="s" s="64">
        <v>288</v>
      </c>
      <c r="H20" s="35"/>
      <c r="I20" t="s" s="64">
        <v>43</v>
      </c>
      <c r="J20" t="s" s="64">
        <v>301</v>
      </c>
      <c r="K20" s="65">
        <f>AM20*AO20</f>
      </c>
      <c r="L20" t="s" s="64">
        <v>192</v>
      </c>
      <c r="M20" t="s" s="64">
        <v>1</v>
      </c>
      <c r="N20" t="s" s="65">
        <v>35</v>
      </c>
      <c r="O20" t="s" s="65">
        <v>35</v>
      </c>
      <c r="P20" t="s" s="65">
        <v>35</v>
      </c>
      <c r="Q20" t="s" s="65">
        <v>193</v>
      </c>
      <c r="R20" t="s" s="65">
        <v>35</v>
      </c>
      <c r="S20" t="s" s="65">
        <v>35</v>
      </c>
      <c r="T20" t="s" s="65">
        <v>35</v>
      </c>
      <c r="U20" t="s" s="64">
        <v>40</v>
      </c>
      <c r="V20" t="s" s="65">
        <v>35</v>
      </c>
      <c r="W20" t="s" s="65">
        <v>35</v>
      </c>
      <c r="X20" t="s" s="65">
        <v>35</v>
      </c>
      <c r="Y20" t="s" s="65">
        <v>302</v>
      </c>
      <c r="Z20" t="s" s="65">
        <v>35</v>
      </c>
      <c r="AA20" t="s" s="65">
        <v>35</v>
      </c>
      <c r="AB20" t="s" s="65">
        <v>35</v>
      </c>
      <c r="AC20" s="65">
        <f>K20*N20*V20*AR20*0.01/1000</f>
      </c>
      <c r="AD20" s="65">
        <f>K20*O20*W20*AR20*0.01/1000</f>
      </c>
      <c r="AE20" s="65">
        <f>K20*P20*X20*AR20*0.01/1000</f>
      </c>
      <c r="AF20" s="65">
        <f>K20*Q20*Y20*AR20*0.01/1000</f>
      </c>
      <c r="AG20" s="65">
        <f>K20*R20*Z20*AR20*0.01/1000</f>
      </c>
      <c r="AH20" s="65">
        <f>K20*S20*AA20*AR20*0.01/1000</f>
      </c>
      <c r="AI20" s="65">
        <f>K20*T20*AB20*AR20*0.01/1000</f>
      </c>
      <c r="AJ20" s="65">
        <f>SUM(AC20:AI20)</f>
      </c>
      <c r="AK20" s="77">
        <f>AJ20/(D3 +SUM('Emission Inventory Scope 2-6'!W4,'Emission Inventory Scope 2-6'!W5))</f>
      </c>
      <c r="AL20" s="77">
        <f>AJ20/(D3 +'Emission Inventory Scope 2-6'!D2)</f>
      </c>
      <c r="AM20" t="s" s="65">
        <v>303</v>
      </c>
      <c r="AN20" t="s" s="64">
        <v>192</v>
      </c>
      <c r="AO20" t="s" s="64">
        <v>182</v>
      </c>
      <c r="AP20" t="s" s="65">
        <v>292</v>
      </c>
      <c r="AQ20" t="s" s="65">
        <v>293</v>
      </c>
      <c r="AR20" t="s" s="65">
        <v>294</v>
      </c>
    </row>
    <row r="21">
      <c r="A21" s="35"/>
      <c r="B21" s="35"/>
      <c r="F21" s="35"/>
      <c r="G21" t="s" s="64">
        <v>288</v>
      </c>
      <c r="H21" s="35"/>
      <c r="I21" t="s" s="64">
        <v>44</v>
      </c>
      <c r="J21" t="s" s="64">
        <v>304</v>
      </c>
      <c r="K21" s="65">
        <f>AM21*AO21</f>
      </c>
      <c r="L21" t="s" s="64">
        <v>192</v>
      </c>
      <c r="M21" t="s" s="64">
        <v>1</v>
      </c>
      <c r="N21" t="s" s="65">
        <v>35</v>
      </c>
      <c r="O21" t="s" s="65">
        <v>35</v>
      </c>
      <c r="P21" t="s" s="65">
        <v>35</v>
      </c>
      <c r="Q21" t="s" s="65">
        <v>193</v>
      </c>
      <c r="R21" t="s" s="65">
        <v>35</v>
      </c>
      <c r="S21" t="s" s="65">
        <v>35</v>
      </c>
      <c r="T21" t="s" s="65">
        <v>35</v>
      </c>
      <c r="U21" t="s" s="64">
        <v>40</v>
      </c>
      <c r="V21" t="s" s="65">
        <v>35</v>
      </c>
      <c r="W21" t="s" s="65">
        <v>35</v>
      </c>
      <c r="X21" t="s" s="65">
        <v>35</v>
      </c>
      <c r="Y21" t="s" s="65">
        <v>305</v>
      </c>
      <c r="Z21" t="s" s="65">
        <v>35</v>
      </c>
      <c r="AA21" t="s" s="65">
        <v>35</v>
      </c>
      <c r="AB21" t="s" s="65">
        <v>35</v>
      </c>
      <c r="AC21" s="65">
        <f>K21*N21*V21*AR21*0.01/1000</f>
      </c>
      <c r="AD21" s="65">
        <f>K21*O21*W21*AR21*0.01/1000</f>
      </c>
      <c r="AE21" s="65">
        <f>K21*P21*X21*AR21*0.01/1000</f>
      </c>
      <c r="AF21" s="65">
        <f>K21*Q21*Y21*AR21*0.01/1000</f>
      </c>
      <c r="AG21" s="65">
        <f>K21*R21*Z21*AR21*0.01/1000</f>
      </c>
      <c r="AH21" s="65">
        <f>K21*S21*AA21*AR21*0.01/1000</f>
      </c>
      <c r="AI21" s="65">
        <f>K21*T21*AB21*AR21*0.01/1000</f>
      </c>
      <c r="AJ21" s="65">
        <f>SUM(AC21:AI21)</f>
      </c>
      <c r="AK21" s="77">
        <f>AJ21/(D3 +SUM('Emission Inventory Scope 2-6'!W4,'Emission Inventory Scope 2-6'!W5))</f>
      </c>
      <c r="AL21" s="77">
        <f>AJ21/(D3 +'Emission Inventory Scope 2-6'!D2)</f>
      </c>
      <c r="AM21" t="s" s="65">
        <v>306</v>
      </c>
      <c r="AN21" t="s" s="64">
        <v>192</v>
      </c>
      <c r="AO21" t="s" s="64">
        <v>182</v>
      </c>
      <c r="AP21" t="s" s="65">
        <v>292</v>
      </c>
      <c r="AQ21" t="s" s="65">
        <v>293</v>
      </c>
      <c r="AR21" t="s" s="65">
        <v>294</v>
      </c>
    </row>
    <row r="22">
      <c r="A22" s="35"/>
      <c r="B22" s="35"/>
      <c r="F22" s="35"/>
      <c r="G22" t="s" s="64">
        <v>288</v>
      </c>
      <c r="H22" s="35"/>
      <c r="I22" t="s" s="64">
        <v>45</v>
      </c>
      <c r="J22" t="s" s="64">
        <v>307</v>
      </c>
      <c r="K22" s="65">
        <f>AM22*AO22</f>
      </c>
      <c r="L22" t="s" s="64">
        <v>192</v>
      </c>
      <c r="M22" t="s" s="64">
        <v>1</v>
      </c>
      <c r="N22" t="s" s="65">
        <v>35</v>
      </c>
      <c r="O22" t="s" s="65">
        <v>35</v>
      </c>
      <c r="P22" t="s" s="65">
        <v>35</v>
      </c>
      <c r="Q22" t="s" s="65">
        <v>193</v>
      </c>
      <c r="R22" t="s" s="65">
        <v>35</v>
      </c>
      <c r="S22" t="s" s="65">
        <v>35</v>
      </c>
      <c r="T22" t="s" s="65">
        <v>35</v>
      </c>
      <c r="U22" t="s" s="64">
        <v>40</v>
      </c>
      <c r="V22" t="s" s="65">
        <v>35</v>
      </c>
      <c r="W22" t="s" s="65">
        <v>35</v>
      </c>
      <c r="X22" t="s" s="65">
        <v>35</v>
      </c>
      <c r="Y22" t="s" s="65">
        <v>308</v>
      </c>
      <c r="Z22" t="s" s="65">
        <v>35</v>
      </c>
      <c r="AA22" t="s" s="65">
        <v>35</v>
      </c>
      <c r="AB22" t="s" s="65">
        <v>35</v>
      </c>
      <c r="AC22" s="65">
        <f>K22*N22*V22*AR22*0.01/1000</f>
      </c>
      <c r="AD22" s="65">
        <f>K22*O22*W22*AR22*0.01/1000</f>
      </c>
      <c r="AE22" s="65">
        <f>K22*P22*X22*AR22*0.01/1000</f>
      </c>
      <c r="AF22" s="65">
        <f>K22*Q22*Y22*AR22*0.01/1000</f>
      </c>
      <c r="AG22" s="65">
        <f>K22*R22*Z22*AR22*0.01/1000</f>
      </c>
      <c r="AH22" s="65">
        <f>K22*S22*AA22*AR22*0.01/1000</f>
      </c>
      <c r="AI22" s="65">
        <f>K22*T22*AB22*AR22*0.01/1000</f>
      </c>
      <c r="AJ22" s="65">
        <f>SUM(AC22:AI22)</f>
      </c>
      <c r="AK22" s="77">
        <f>AJ22/(D3 +SUM('Emission Inventory Scope 2-6'!W4,'Emission Inventory Scope 2-6'!W5))</f>
      </c>
      <c r="AL22" s="77">
        <f>AJ22/(D3 +'Emission Inventory Scope 2-6'!D2)</f>
      </c>
      <c r="AM22" t="s" s="65">
        <v>309</v>
      </c>
      <c r="AN22" t="s" s="64">
        <v>192</v>
      </c>
      <c r="AO22" t="s" s="64">
        <v>182</v>
      </c>
      <c r="AP22" t="s" s="65">
        <v>292</v>
      </c>
      <c r="AQ22" t="s" s="65">
        <v>293</v>
      </c>
      <c r="AR22" t="s" s="65">
        <v>294</v>
      </c>
    </row>
    <row r="23">
      <c r="A23" s="35"/>
      <c r="B23" s="35"/>
      <c r="F23" s="35"/>
      <c r="G23" t="s" s="64">
        <v>288</v>
      </c>
      <c r="H23" s="35"/>
      <c r="I23" t="s" s="64">
        <v>46</v>
      </c>
      <c r="J23" t="s" s="64">
        <v>289</v>
      </c>
      <c r="K23" s="65">
        <f>AM23*AO23</f>
      </c>
      <c r="L23" t="s" s="64">
        <v>192</v>
      </c>
      <c r="M23" t="s" s="64">
        <v>1</v>
      </c>
      <c r="N23" t="s" s="65">
        <v>35</v>
      </c>
      <c r="O23" t="s" s="65">
        <v>35</v>
      </c>
      <c r="P23" t="s" s="65">
        <v>35</v>
      </c>
      <c r="Q23" t="s" s="65">
        <v>193</v>
      </c>
      <c r="R23" t="s" s="65">
        <v>35</v>
      </c>
      <c r="S23" t="s" s="65">
        <v>35</v>
      </c>
      <c r="T23" t="s" s="65">
        <v>35</v>
      </c>
      <c r="U23" t="s" s="64">
        <v>40</v>
      </c>
      <c r="V23" t="s" s="65">
        <v>35</v>
      </c>
      <c r="W23" t="s" s="65">
        <v>35</v>
      </c>
      <c r="X23" t="s" s="65">
        <v>35</v>
      </c>
      <c r="Y23" t="s" s="65">
        <v>290</v>
      </c>
      <c r="Z23" t="s" s="65">
        <v>35</v>
      </c>
      <c r="AA23" t="s" s="65">
        <v>35</v>
      </c>
      <c r="AB23" t="s" s="65">
        <v>35</v>
      </c>
      <c r="AC23" s="65">
        <f>K23*N23*V23*AR23*0.01/1000</f>
      </c>
      <c r="AD23" s="65">
        <f>K23*O23*W23*AR23*0.01/1000</f>
      </c>
      <c r="AE23" s="65">
        <f>K23*P23*X23*AR23*0.01/1000</f>
      </c>
      <c r="AF23" s="65">
        <f>K23*Q23*Y23*AR23*0.01/1000</f>
      </c>
      <c r="AG23" s="65">
        <f>K23*R23*Z23*AR23*0.01/1000</f>
      </c>
      <c r="AH23" s="65">
        <f>K23*S23*AA23*AR23*0.01/1000</f>
      </c>
      <c r="AI23" s="65">
        <f>K23*T23*AB23*AR23*0.01/1000</f>
      </c>
      <c r="AJ23" s="65">
        <f>SUM(AC23:AI23)</f>
      </c>
      <c r="AK23" s="77">
        <f>AJ23/(D3 +SUM('Emission Inventory Scope 2-6'!W4,'Emission Inventory Scope 2-6'!W5))</f>
      </c>
      <c r="AL23" s="77">
        <f>AJ23/(D3 +'Emission Inventory Scope 2-6'!D2)</f>
      </c>
      <c r="AM23" t="s" s="65">
        <v>310</v>
      </c>
      <c r="AN23" t="s" s="64">
        <v>192</v>
      </c>
      <c r="AO23" t="s" s="64">
        <v>182</v>
      </c>
      <c r="AP23" t="s" s="65">
        <v>292</v>
      </c>
      <c r="AQ23" t="s" s="65">
        <v>293</v>
      </c>
      <c r="AR23" t="s" s="65">
        <v>294</v>
      </c>
    </row>
    <row r="24">
      <c r="A24" s="35"/>
      <c r="B24" s="35"/>
      <c r="F24" s="35"/>
      <c r="G24" t="s" s="64">
        <v>288</v>
      </c>
      <c r="H24" s="35"/>
      <c r="I24" t="s" s="64">
        <v>47</v>
      </c>
      <c r="J24" t="s" s="64">
        <v>301</v>
      </c>
      <c r="K24" s="65">
        <f>AM24*AO24</f>
      </c>
      <c r="L24" t="s" s="64">
        <v>192</v>
      </c>
      <c r="M24" t="s" s="64">
        <v>1</v>
      </c>
      <c r="N24" t="s" s="65">
        <v>35</v>
      </c>
      <c r="O24" t="s" s="65">
        <v>35</v>
      </c>
      <c r="P24" t="s" s="65">
        <v>35</v>
      </c>
      <c r="Q24" t="s" s="65">
        <v>193</v>
      </c>
      <c r="R24" t="s" s="65">
        <v>35</v>
      </c>
      <c r="S24" t="s" s="65">
        <v>35</v>
      </c>
      <c r="T24" t="s" s="65">
        <v>35</v>
      </c>
      <c r="U24" t="s" s="64">
        <v>40</v>
      </c>
      <c r="V24" t="s" s="65">
        <v>35</v>
      </c>
      <c r="W24" t="s" s="65">
        <v>35</v>
      </c>
      <c r="X24" t="s" s="65">
        <v>35</v>
      </c>
      <c r="Y24" t="s" s="65">
        <v>302</v>
      </c>
      <c r="Z24" t="s" s="65">
        <v>35</v>
      </c>
      <c r="AA24" t="s" s="65">
        <v>35</v>
      </c>
      <c r="AB24" t="s" s="65">
        <v>35</v>
      </c>
      <c r="AC24" s="65">
        <f>K24*N24*V24*AR24*0.01/1000</f>
      </c>
      <c r="AD24" s="65">
        <f>K24*O24*W24*AR24*0.01/1000</f>
      </c>
      <c r="AE24" s="65">
        <f>K24*P24*X24*AR24*0.01/1000</f>
      </c>
      <c r="AF24" s="65">
        <f>K24*Q24*Y24*AR24*0.01/1000</f>
      </c>
      <c r="AG24" s="65">
        <f>K24*R24*Z24*AR24*0.01/1000</f>
      </c>
      <c r="AH24" s="65">
        <f>K24*S24*AA24*AR24*0.01/1000</f>
      </c>
      <c r="AI24" s="65">
        <f>K24*T24*AB24*AR24*0.01/1000</f>
      </c>
      <c r="AJ24" s="65">
        <f>SUM(AC24:AI24)</f>
      </c>
      <c r="AK24" s="77">
        <f>AJ24/(D3 +SUM('Emission Inventory Scope 2-6'!W4,'Emission Inventory Scope 2-6'!W5))</f>
      </c>
      <c r="AL24" s="77">
        <f>AJ24/(D3 +'Emission Inventory Scope 2-6'!D2)</f>
      </c>
      <c r="AM24" t="s" s="65">
        <v>311</v>
      </c>
      <c r="AN24" t="s" s="64">
        <v>192</v>
      </c>
      <c r="AO24" t="s" s="64">
        <v>182</v>
      </c>
      <c r="AP24" t="s" s="65">
        <v>292</v>
      </c>
      <c r="AQ24" t="s" s="65">
        <v>293</v>
      </c>
      <c r="AR24" t="s" s="65">
        <v>294</v>
      </c>
    </row>
    <row r="25">
      <c r="A25" s="35"/>
      <c r="B25" s="35"/>
      <c r="F25" s="35"/>
      <c r="G25" t="s" s="64">
        <v>288</v>
      </c>
      <c r="H25" s="35"/>
      <c r="I25" t="s" s="64">
        <v>48</v>
      </c>
      <c r="J25" t="s" s="64">
        <v>295</v>
      </c>
      <c r="K25" s="65">
        <f>AM25*AO25</f>
      </c>
      <c r="L25" t="s" s="64">
        <v>192</v>
      </c>
      <c r="M25" t="s" s="64">
        <v>1</v>
      </c>
      <c r="N25" t="s" s="65">
        <v>35</v>
      </c>
      <c r="O25" t="s" s="65">
        <v>35</v>
      </c>
      <c r="P25" t="s" s="65">
        <v>35</v>
      </c>
      <c r="Q25" t="s" s="65">
        <v>193</v>
      </c>
      <c r="R25" t="s" s="65">
        <v>35</v>
      </c>
      <c r="S25" t="s" s="65">
        <v>35</v>
      </c>
      <c r="T25" t="s" s="65">
        <v>35</v>
      </c>
      <c r="U25" t="s" s="64">
        <v>40</v>
      </c>
      <c r="V25" t="s" s="65">
        <v>35</v>
      </c>
      <c r="W25" t="s" s="65">
        <v>35</v>
      </c>
      <c r="X25" t="s" s="65">
        <v>35</v>
      </c>
      <c r="Y25" t="s" s="65">
        <v>296</v>
      </c>
      <c r="Z25" t="s" s="65">
        <v>35</v>
      </c>
      <c r="AA25" t="s" s="65">
        <v>35</v>
      </c>
      <c r="AB25" t="s" s="65">
        <v>35</v>
      </c>
      <c r="AC25" s="65">
        <f>K25*N25*V25*AR25*0.01/1000</f>
      </c>
      <c r="AD25" s="65">
        <f>K25*O25*W25*AR25*0.01/1000</f>
      </c>
      <c r="AE25" s="65">
        <f>K25*P25*X25*AR25*0.01/1000</f>
      </c>
      <c r="AF25" s="65">
        <f>K25*Q25*Y25*AR25*0.01/1000</f>
      </c>
      <c r="AG25" s="65">
        <f>K25*R25*Z25*AR25*0.01/1000</f>
      </c>
      <c r="AH25" s="65">
        <f>K25*S25*AA25*AR25*0.01/1000</f>
      </c>
      <c r="AI25" s="65">
        <f>K25*T25*AB25*AR25*0.01/1000</f>
      </c>
      <c r="AJ25" s="65">
        <f>SUM(AC25:AI25)</f>
      </c>
      <c r="AK25" s="77">
        <f>AJ25/(D3 +SUM('Emission Inventory Scope 2-6'!W4,'Emission Inventory Scope 2-6'!W5))</f>
      </c>
      <c r="AL25" s="77">
        <f>AJ25/(D3 +'Emission Inventory Scope 2-6'!D2)</f>
      </c>
      <c r="AM25" t="s" s="65">
        <v>312</v>
      </c>
      <c r="AN25" t="s" s="64">
        <v>192</v>
      </c>
      <c r="AO25" t="s" s="64">
        <v>182</v>
      </c>
      <c r="AP25" t="s" s="65">
        <v>292</v>
      </c>
      <c r="AQ25" t="s" s="65">
        <v>293</v>
      </c>
      <c r="AR25" t="s" s="65">
        <v>294</v>
      </c>
    </row>
    <row r="26">
      <c r="A26" s="35"/>
      <c r="B26" s="35"/>
      <c r="F26" s="35"/>
      <c r="G26" t="s" s="64">
        <v>288</v>
      </c>
      <c r="H26" s="35"/>
      <c r="I26" t="s" s="64">
        <v>49</v>
      </c>
      <c r="J26" t="s" s="64">
        <v>298</v>
      </c>
      <c r="K26" s="65">
        <f>AM26*AO26</f>
      </c>
      <c r="L26" t="s" s="64">
        <v>192</v>
      </c>
      <c r="M26" t="s" s="64">
        <v>1</v>
      </c>
      <c r="N26" t="s" s="65">
        <v>35</v>
      </c>
      <c r="O26" t="s" s="65">
        <v>35</v>
      </c>
      <c r="P26" t="s" s="65">
        <v>35</v>
      </c>
      <c r="Q26" t="s" s="65">
        <v>193</v>
      </c>
      <c r="R26" t="s" s="65">
        <v>35</v>
      </c>
      <c r="S26" t="s" s="65">
        <v>35</v>
      </c>
      <c r="T26" t="s" s="65">
        <v>35</v>
      </c>
      <c r="U26" t="s" s="64">
        <v>40</v>
      </c>
      <c r="V26" t="s" s="65">
        <v>35</v>
      </c>
      <c r="W26" t="s" s="65">
        <v>35</v>
      </c>
      <c r="X26" t="s" s="65">
        <v>35</v>
      </c>
      <c r="Y26" t="s" s="65">
        <v>299</v>
      </c>
      <c r="Z26" t="s" s="65">
        <v>35</v>
      </c>
      <c r="AA26" t="s" s="65">
        <v>35</v>
      </c>
      <c r="AB26" t="s" s="65">
        <v>35</v>
      </c>
      <c r="AC26" s="65">
        <f>K26*N26*V26*AR26*0.01/1000</f>
      </c>
      <c r="AD26" s="65">
        <f>K26*O26*W26*AR26*0.01/1000</f>
      </c>
      <c r="AE26" s="65">
        <f>K26*P26*X26*AR26*0.01/1000</f>
      </c>
      <c r="AF26" s="65">
        <f>K26*Q26*Y26*AR26*0.01/1000</f>
      </c>
      <c r="AG26" s="65">
        <f>K26*R26*Z26*AR26*0.01/1000</f>
      </c>
      <c r="AH26" s="65">
        <f>K26*S26*AA26*AR26*0.01/1000</f>
      </c>
      <c r="AI26" s="65">
        <f>K26*T26*AB26*AR26*0.01/1000</f>
      </c>
      <c r="AJ26" s="65">
        <f>SUM(AC26:AI26)</f>
      </c>
      <c r="AK26" s="77">
        <f>AJ26/(D3 +SUM('Emission Inventory Scope 2-6'!W4,'Emission Inventory Scope 2-6'!W5))</f>
      </c>
      <c r="AL26" s="77">
        <f>AJ26/(D3 +'Emission Inventory Scope 2-6'!D2)</f>
      </c>
      <c r="AM26" t="s" s="65">
        <v>313</v>
      </c>
      <c r="AN26" t="s" s="64">
        <v>192</v>
      </c>
      <c r="AO26" t="s" s="64">
        <v>182</v>
      </c>
      <c r="AP26" t="s" s="65">
        <v>292</v>
      </c>
      <c r="AQ26" t="s" s="65">
        <v>293</v>
      </c>
      <c r="AR26" t="s" s="65">
        <v>294</v>
      </c>
    </row>
    <row r="27">
      <c r="A27" s="35"/>
      <c r="B27" s="35"/>
      <c r="F27" s="35"/>
      <c r="G27" t="s" s="64">
        <v>288</v>
      </c>
      <c r="H27" s="35"/>
      <c r="I27" t="s" s="64">
        <v>50</v>
      </c>
      <c r="J27" t="s" s="64">
        <v>289</v>
      </c>
      <c r="K27" s="65">
        <f>AM27*AO27</f>
      </c>
      <c r="L27" t="s" s="64">
        <v>192</v>
      </c>
      <c r="M27" t="s" s="64">
        <v>1</v>
      </c>
      <c r="N27" t="s" s="65">
        <v>35</v>
      </c>
      <c r="O27" t="s" s="65">
        <v>35</v>
      </c>
      <c r="P27" t="s" s="65">
        <v>35</v>
      </c>
      <c r="Q27" t="s" s="65">
        <v>193</v>
      </c>
      <c r="R27" t="s" s="65">
        <v>35</v>
      </c>
      <c r="S27" t="s" s="65">
        <v>35</v>
      </c>
      <c r="T27" t="s" s="65">
        <v>35</v>
      </c>
      <c r="U27" t="s" s="64">
        <v>40</v>
      </c>
      <c r="V27" t="s" s="65">
        <v>35</v>
      </c>
      <c r="W27" t="s" s="65">
        <v>35</v>
      </c>
      <c r="X27" t="s" s="65">
        <v>35</v>
      </c>
      <c r="Y27" t="s" s="65">
        <v>290</v>
      </c>
      <c r="Z27" t="s" s="65">
        <v>35</v>
      </c>
      <c r="AA27" t="s" s="65">
        <v>35</v>
      </c>
      <c r="AB27" t="s" s="65">
        <v>35</v>
      </c>
      <c r="AC27" s="65">
        <f>K27*N27*V27*AR27*0.01/1000</f>
      </c>
      <c r="AD27" s="65">
        <f>K27*O27*W27*AR27*0.01/1000</f>
      </c>
      <c r="AE27" s="65">
        <f>K27*P27*X27*AR27*0.01/1000</f>
      </c>
      <c r="AF27" s="65">
        <f>K27*Q27*Y27*AR27*0.01/1000</f>
      </c>
      <c r="AG27" s="65">
        <f>K27*R27*Z27*AR27*0.01/1000</f>
      </c>
      <c r="AH27" s="65">
        <f>K27*S27*AA27*AR27*0.01/1000</f>
      </c>
      <c r="AI27" s="65">
        <f>K27*T27*AB27*AR27*0.01/1000</f>
      </c>
      <c r="AJ27" s="65">
        <f>SUM(AC27:AI27)</f>
      </c>
      <c r="AK27" s="77">
        <f>AJ27/(D3 +SUM('Emission Inventory Scope 2-6'!W4,'Emission Inventory Scope 2-6'!W5))</f>
      </c>
      <c r="AL27" s="77">
        <f>AJ27/(D3 +'Emission Inventory Scope 2-6'!D2)</f>
      </c>
      <c r="AM27" t="s" s="65">
        <v>314</v>
      </c>
      <c r="AN27" t="s" s="64">
        <v>192</v>
      </c>
      <c r="AO27" t="s" s="64">
        <v>182</v>
      </c>
      <c r="AP27" t="s" s="65">
        <v>292</v>
      </c>
      <c r="AQ27" t="s" s="65">
        <v>293</v>
      </c>
      <c r="AR27" t="s" s="65">
        <v>294</v>
      </c>
    </row>
    <row r="28">
      <c r="A28" s="35"/>
      <c r="B28" s="35"/>
      <c r="F28" s="35"/>
      <c r="G28" t="s" s="64">
        <v>288</v>
      </c>
      <c r="H28" s="35"/>
      <c r="I28" t="s" s="64">
        <v>51</v>
      </c>
      <c r="J28" t="s" s="64">
        <v>298</v>
      </c>
      <c r="K28" s="65">
        <f>AM28*AO28</f>
      </c>
      <c r="L28" t="s" s="64">
        <v>192</v>
      </c>
      <c r="M28" t="s" s="64">
        <v>1</v>
      </c>
      <c r="N28" t="s" s="65">
        <v>35</v>
      </c>
      <c r="O28" t="s" s="65">
        <v>35</v>
      </c>
      <c r="P28" t="s" s="65">
        <v>35</v>
      </c>
      <c r="Q28" t="s" s="65">
        <v>193</v>
      </c>
      <c r="R28" t="s" s="65">
        <v>35</v>
      </c>
      <c r="S28" t="s" s="65">
        <v>35</v>
      </c>
      <c r="T28" t="s" s="65">
        <v>35</v>
      </c>
      <c r="U28" t="s" s="64">
        <v>40</v>
      </c>
      <c r="V28" t="s" s="65">
        <v>35</v>
      </c>
      <c r="W28" t="s" s="65">
        <v>35</v>
      </c>
      <c r="X28" t="s" s="65">
        <v>35</v>
      </c>
      <c r="Y28" t="s" s="65">
        <v>299</v>
      </c>
      <c r="Z28" t="s" s="65">
        <v>35</v>
      </c>
      <c r="AA28" t="s" s="65">
        <v>35</v>
      </c>
      <c r="AB28" t="s" s="65">
        <v>35</v>
      </c>
      <c r="AC28" s="65">
        <f>K28*N28*V28*AR28*0.01/1000</f>
      </c>
      <c r="AD28" s="65">
        <f>K28*O28*W28*AR28*0.01/1000</f>
      </c>
      <c r="AE28" s="65">
        <f>K28*P28*X28*AR28*0.01/1000</f>
      </c>
      <c r="AF28" s="65">
        <f>K28*Q28*Y28*AR28*0.01/1000</f>
      </c>
      <c r="AG28" s="65">
        <f>K28*R28*Z28*AR28*0.01/1000</f>
      </c>
      <c r="AH28" s="65">
        <f>K28*S28*AA28*AR28*0.01/1000</f>
      </c>
      <c r="AI28" s="65">
        <f>K28*T28*AB28*AR28*0.01/1000</f>
      </c>
      <c r="AJ28" s="65">
        <f>SUM(AC28:AI28)</f>
      </c>
      <c r="AK28" s="77">
        <f>AJ28/(D3 +SUM('Emission Inventory Scope 2-6'!W4,'Emission Inventory Scope 2-6'!W5))</f>
      </c>
      <c r="AL28" s="77">
        <f>AJ28/(D3 +'Emission Inventory Scope 2-6'!D2)</f>
      </c>
      <c r="AM28" t="s" s="65">
        <v>315</v>
      </c>
      <c r="AN28" t="s" s="64">
        <v>192</v>
      </c>
      <c r="AO28" t="s" s="64">
        <v>182</v>
      </c>
      <c r="AP28" t="s" s="65">
        <v>292</v>
      </c>
      <c r="AQ28" t="s" s="65">
        <v>293</v>
      </c>
      <c r="AR28" t="s" s="65">
        <v>316</v>
      </c>
    </row>
    <row r="29">
      <c r="A29" s="35"/>
      <c r="B29" s="35"/>
      <c r="F29" s="35"/>
      <c r="G29" t="s" s="64">
        <v>288</v>
      </c>
      <c r="H29" s="35"/>
      <c r="I29" t="s" s="64">
        <v>52</v>
      </c>
      <c r="J29" t="s" s="64">
        <v>298</v>
      </c>
      <c r="K29" s="65">
        <f>AM29*AO29</f>
      </c>
      <c r="L29" t="s" s="64">
        <v>192</v>
      </c>
      <c r="M29" t="s" s="64">
        <v>1</v>
      </c>
      <c r="N29" t="s" s="65">
        <v>35</v>
      </c>
      <c r="O29" t="s" s="65">
        <v>35</v>
      </c>
      <c r="P29" t="s" s="65">
        <v>35</v>
      </c>
      <c r="Q29" t="s" s="65">
        <v>193</v>
      </c>
      <c r="R29" t="s" s="65">
        <v>35</v>
      </c>
      <c r="S29" t="s" s="65">
        <v>35</v>
      </c>
      <c r="T29" t="s" s="65">
        <v>35</v>
      </c>
      <c r="U29" t="s" s="64">
        <v>40</v>
      </c>
      <c r="V29" t="s" s="65">
        <v>35</v>
      </c>
      <c r="W29" t="s" s="65">
        <v>35</v>
      </c>
      <c r="X29" t="s" s="65">
        <v>35</v>
      </c>
      <c r="Y29" t="s" s="65">
        <v>299</v>
      </c>
      <c r="Z29" t="s" s="65">
        <v>35</v>
      </c>
      <c r="AA29" t="s" s="65">
        <v>35</v>
      </c>
      <c r="AB29" t="s" s="65">
        <v>35</v>
      </c>
      <c r="AC29" s="65">
        <f>K29*N29*V29*AR29*0.01/1000</f>
      </c>
      <c r="AD29" s="65">
        <f>K29*O29*W29*AR29*0.01/1000</f>
      </c>
      <c r="AE29" s="65">
        <f>K29*P29*X29*AR29*0.01/1000</f>
      </c>
      <c r="AF29" s="65">
        <f>K29*Q29*Y29*AR29*0.01/1000</f>
      </c>
      <c r="AG29" s="65">
        <f>K29*R29*Z29*AR29*0.01/1000</f>
      </c>
      <c r="AH29" s="65">
        <f>K29*S29*AA29*AR29*0.01/1000</f>
      </c>
      <c r="AI29" s="65">
        <f>K29*T29*AB29*AR29*0.01/1000</f>
      </c>
      <c r="AJ29" s="65">
        <f>SUM(AC29:AI29)</f>
      </c>
      <c r="AK29" s="77">
        <f>AJ29/(D3 +SUM('Emission Inventory Scope 2-6'!W4,'Emission Inventory Scope 2-6'!W5))</f>
      </c>
      <c r="AL29" s="77">
        <f>AJ29/(D3 +'Emission Inventory Scope 2-6'!D2)</f>
      </c>
      <c r="AM29" t="s" s="65">
        <v>317</v>
      </c>
      <c r="AN29" t="s" s="64">
        <v>192</v>
      </c>
      <c r="AO29" t="s" s="64">
        <v>182</v>
      </c>
      <c r="AP29" t="s" s="65">
        <v>292</v>
      </c>
      <c r="AQ29" t="s" s="65">
        <v>293</v>
      </c>
      <c r="AR29" t="s" s="65">
        <v>318</v>
      </c>
    </row>
    <row r="30">
      <c r="A30" s="35"/>
      <c r="B30" s="35"/>
      <c r="F30" s="35"/>
      <c r="G30" t="s" s="64">
        <v>288</v>
      </c>
      <c r="H30" s="35"/>
      <c r="I30" t="s" s="64">
        <v>53</v>
      </c>
      <c r="J30" t="s" s="64">
        <v>289</v>
      </c>
      <c r="K30" s="65">
        <f>AM30*AO30</f>
      </c>
      <c r="L30" t="s" s="64">
        <v>192</v>
      </c>
      <c r="M30" t="s" s="64">
        <v>1</v>
      </c>
      <c r="N30" t="s" s="65">
        <v>35</v>
      </c>
      <c r="O30" t="s" s="65">
        <v>35</v>
      </c>
      <c r="P30" t="s" s="65">
        <v>35</v>
      </c>
      <c r="Q30" t="s" s="65">
        <v>193</v>
      </c>
      <c r="R30" t="s" s="65">
        <v>35</v>
      </c>
      <c r="S30" t="s" s="65">
        <v>35</v>
      </c>
      <c r="T30" t="s" s="65">
        <v>35</v>
      </c>
      <c r="U30" t="s" s="64">
        <v>40</v>
      </c>
      <c r="V30" t="s" s="65">
        <v>35</v>
      </c>
      <c r="W30" t="s" s="65">
        <v>35</v>
      </c>
      <c r="X30" t="s" s="65">
        <v>35</v>
      </c>
      <c r="Y30" t="s" s="65">
        <v>290</v>
      </c>
      <c r="Z30" t="s" s="65">
        <v>35</v>
      </c>
      <c r="AA30" t="s" s="65">
        <v>35</v>
      </c>
      <c r="AB30" t="s" s="65">
        <v>35</v>
      </c>
      <c r="AC30" s="65">
        <f>K30*N30*V30*AR30*0.01/1000</f>
      </c>
      <c r="AD30" s="65">
        <f>K30*O30*W30*AR30*0.01/1000</f>
      </c>
      <c r="AE30" s="65">
        <f>K30*P30*X30*AR30*0.01/1000</f>
      </c>
      <c r="AF30" s="65">
        <f>K30*Q30*Y30*AR30*0.01/1000</f>
      </c>
      <c r="AG30" s="65">
        <f>K30*R30*Z30*AR30*0.01/1000</f>
      </c>
      <c r="AH30" s="65">
        <f>K30*S30*AA30*AR30*0.01/1000</f>
      </c>
      <c r="AI30" s="65">
        <f>K30*T30*AB30*AR30*0.01/1000</f>
      </c>
      <c r="AJ30" s="65">
        <f>SUM(AC30:AI30)</f>
      </c>
      <c r="AK30" s="77">
        <f>AJ30/(D3 +SUM('Emission Inventory Scope 2-6'!W4,'Emission Inventory Scope 2-6'!W5))</f>
      </c>
      <c r="AL30" s="77">
        <f>AJ30/(D3 +'Emission Inventory Scope 2-6'!D2)</f>
      </c>
      <c r="AM30" t="s" s="65">
        <v>319</v>
      </c>
      <c r="AN30" t="s" s="64">
        <v>192</v>
      </c>
      <c r="AO30" t="s" s="64">
        <v>182</v>
      </c>
      <c r="AP30" t="s" s="65">
        <v>292</v>
      </c>
      <c r="AQ30" t="s" s="65">
        <v>293</v>
      </c>
      <c r="AR30" t="s" s="65">
        <v>318</v>
      </c>
    </row>
    <row r="31">
      <c r="A31" s="35"/>
      <c r="B31" s="35"/>
      <c r="F31" s="35"/>
      <c r="G31" t="s" s="64">
        <v>288</v>
      </c>
      <c r="H31" s="35"/>
      <c r="I31" t="s" s="64">
        <v>55</v>
      </c>
      <c r="J31" t="s" s="64">
        <v>320</v>
      </c>
      <c r="K31" s="65">
        <f>AM31*AO31</f>
      </c>
      <c r="L31" t="s" s="64">
        <v>192</v>
      </c>
      <c r="M31" t="s" s="64">
        <v>1</v>
      </c>
      <c r="N31" t="s" s="65">
        <v>35</v>
      </c>
      <c r="O31" t="s" s="65">
        <v>35</v>
      </c>
      <c r="P31" t="s" s="65">
        <v>35</v>
      </c>
      <c r="Q31" t="s" s="65">
        <v>193</v>
      </c>
      <c r="R31" t="s" s="65">
        <v>35</v>
      </c>
      <c r="S31" t="s" s="65">
        <v>35</v>
      </c>
      <c r="T31" t="s" s="65">
        <v>35</v>
      </c>
      <c r="U31" t="s" s="64">
        <v>40</v>
      </c>
      <c r="V31" t="s" s="65">
        <v>35</v>
      </c>
      <c r="W31" t="s" s="65">
        <v>35</v>
      </c>
      <c r="X31" t="s" s="65">
        <v>35</v>
      </c>
      <c r="Y31" t="s" s="65">
        <v>321</v>
      </c>
      <c r="Z31" t="s" s="65">
        <v>35</v>
      </c>
      <c r="AA31" t="s" s="65">
        <v>35</v>
      </c>
      <c r="AB31" t="s" s="65">
        <v>35</v>
      </c>
      <c r="AC31" s="65">
        <f>K31*N31*V31*AR31*0.01/1000</f>
      </c>
      <c r="AD31" s="65">
        <f>K31*O31*W31*AR31*0.01/1000</f>
      </c>
      <c r="AE31" s="65">
        <f>K31*P31*X31*AR31*0.01/1000</f>
      </c>
      <c r="AF31" s="65">
        <f>K31*Q31*Y31*AR31*0.01/1000</f>
      </c>
      <c r="AG31" s="65">
        <f>K31*R31*Z31*AR31*0.01/1000</f>
      </c>
      <c r="AH31" s="65">
        <f>K31*S31*AA31*AR31*0.01/1000</f>
      </c>
      <c r="AI31" s="65">
        <f>K31*T31*AB31*AR31*0.01/1000</f>
      </c>
      <c r="AJ31" s="65">
        <f>SUM(AC31:AI31)</f>
      </c>
      <c r="AK31" s="77">
        <f>AJ31/(D3 +SUM('Emission Inventory Scope 2-6'!W4,'Emission Inventory Scope 2-6'!W5))</f>
      </c>
      <c r="AL31" s="77">
        <f>AJ31/(D3 +'Emission Inventory Scope 2-6'!D2)</f>
      </c>
      <c r="AM31" t="s" s="65">
        <v>322</v>
      </c>
      <c r="AN31" t="s" s="64">
        <v>192</v>
      </c>
      <c r="AO31" t="s" s="64">
        <v>182</v>
      </c>
      <c r="AP31" t="s" s="65">
        <v>292</v>
      </c>
      <c r="AQ31" t="s" s="65">
        <v>293</v>
      </c>
      <c r="AR31" t="s" s="65">
        <v>318</v>
      </c>
    </row>
    <row r="32">
      <c r="A32" s="35"/>
      <c r="B32" s="35"/>
      <c r="F32" s="35"/>
      <c r="G32" t="s" s="64">
        <v>288</v>
      </c>
      <c r="H32" s="35"/>
      <c r="I32" t="s" s="64">
        <v>56</v>
      </c>
      <c r="J32" t="s" s="64">
        <v>295</v>
      </c>
      <c r="K32" s="65">
        <f>AM32*AO32</f>
      </c>
      <c r="L32" t="s" s="64">
        <v>192</v>
      </c>
      <c r="M32" t="s" s="64">
        <v>1</v>
      </c>
      <c r="N32" t="s" s="65">
        <v>35</v>
      </c>
      <c r="O32" t="s" s="65">
        <v>35</v>
      </c>
      <c r="P32" t="s" s="65">
        <v>35</v>
      </c>
      <c r="Q32" t="s" s="65">
        <v>193</v>
      </c>
      <c r="R32" t="s" s="65">
        <v>35</v>
      </c>
      <c r="S32" t="s" s="65">
        <v>35</v>
      </c>
      <c r="T32" t="s" s="65">
        <v>35</v>
      </c>
      <c r="U32" t="s" s="64">
        <v>40</v>
      </c>
      <c r="V32" t="s" s="65">
        <v>35</v>
      </c>
      <c r="W32" t="s" s="65">
        <v>35</v>
      </c>
      <c r="X32" t="s" s="65">
        <v>35</v>
      </c>
      <c r="Y32" t="s" s="65">
        <v>296</v>
      </c>
      <c r="Z32" t="s" s="65">
        <v>35</v>
      </c>
      <c r="AA32" t="s" s="65">
        <v>35</v>
      </c>
      <c r="AB32" t="s" s="65">
        <v>35</v>
      </c>
      <c r="AC32" s="65">
        <f>K32*N32*V32*AR32*0.01/1000</f>
      </c>
      <c r="AD32" s="65">
        <f>K32*O32*W32*AR32*0.01/1000</f>
      </c>
      <c r="AE32" s="65">
        <f>K32*P32*X32*AR32*0.01/1000</f>
      </c>
      <c r="AF32" s="65">
        <f>K32*Q32*Y32*AR32*0.01/1000</f>
      </c>
      <c r="AG32" s="65">
        <f>K32*R32*Z32*AR32*0.01/1000</f>
      </c>
      <c r="AH32" s="65">
        <f>K32*S32*AA32*AR32*0.01/1000</f>
      </c>
      <c r="AI32" s="65">
        <f>K32*T32*AB32*AR32*0.01/1000</f>
      </c>
      <c r="AJ32" s="65">
        <f>SUM(AC32:AI32)</f>
      </c>
      <c r="AK32" s="77">
        <f>AJ32/(D3 +SUM('Emission Inventory Scope 2-6'!W4,'Emission Inventory Scope 2-6'!W5))</f>
      </c>
      <c r="AL32" s="77">
        <f>AJ32/(D3 +'Emission Inventory Scope 2-6'!D2)</f>
      </c>
      <c r="AM32" t="s" s="65">
        <v>323</v>
      </c>
      <c r="AN32" t="s" s="64">
        <v>192</v>
      </c>
      <c r="AO32" t="s" s="64">
        <v>182</v>
      </c>
      <c r="AP32" t="s" s="65">
        <v>292</v>
      </c>
      <c r="AQ32" t="s" s="65">
        <v>293</v>
      </c>
      <c r="AR32" t="s" s="65">
        <v>318</v>
      </c>
    </row>
    <row r="33">
      <c r="A33" s="35"/>
      <c r="B33" s="35"/>
      <c r="F33" s="35"/>
      <c r="G33" t="s" s="64">
        <v>288</v>
      </c>
      <c r="H33" s="35"/>
      <c r="I33" t="s" s="64">
        <v>57</v>
      </c>
      <c r="J33" t="s" s="64">
        <v>324</v>
      </c>
      <c r="K33" s="65">
        <f>AM33*AO33</f>
      </c>
      <c r="L33" t="s" s="64">
        <v>192</v>
      </c>
      <c r="M33" t="s" s="64">
        <v>1</v>
      </c>
      <c r="N33" t="s" s="65">
        <v>35</v>
      </c>
      <c r="O33" t="s" s="65">
        <v>35</v>
      </c>
      <c r="P33" t="s" s="65">
        <v>35</v>
      </c>
      <c r="Q33" t="s" s="65">
        <v>193</v>
      </c>
      <c r="R33" t="s" s="65">
        <v>35</v>
      </c>
      <c r="S33" t="s" s="65">
        <v>35</v>
      </c>
      <c r="T33" t="s" s="65">
        <v>35</v>
      </c>
      <c r="U33" t="s" s="64">
        <v>40</v>
      </c>
      <c r="V33" t="s" s="65">
        <v>35</v>
      </c>
      <c r="W33" t="s" s="65">
        <v>35</v>
      </c>
      <c r="X33" t="s" s="65">
        <v>35</v>
      </c>
      <c r="Y33" t="s" s="65">
        <v>35</v>
      </c>
      <c r="Z33" t="s" s="65">
        <v>35</v>
      </c>
      <c r="AA33" t="s" s="65">
        <v>35</v>
      </c>
      <c r="AB33" t="s" s="65">
        <v>35</v>
      </c>
      <c r="AC33" s="65">
        <f>K33*N33*V33*AR33*0.01/1000</f>
      </c>
      <c r="AD33" s="65">
        <f>K33*O33*W33*AR33*0.01/1000</f>
      </c>
      <c r="AE33" s="65">
        <f>K33*P33*X33*AR33*0.01/1000</f>
      </c>
      <c r="AF33" s="65">
        <f>K33*Q33*Y33*AR33*0.01/1000</f>
      </c>
      <c r="AG33" s="65">
        <f>K33*R33*Z33*AR33*0.01/1000</f>
      </c>
      <c r="AH33" s="65">
        <f>K33*S33*AA33*AR33*0.01/1000</f>
      </c>
      <c r="AI33" s="65">
        <f>K33*T33*AB33*AR33*0.01/1000</f>
      </c>
      <c r="AJ33" s="65">
        <f>SUM(AC33:AI33)</f>
      </c>
      <c r="AK33" s="77">
        <f>AJ33/(D3 +SUM('Emission Inventory Scope 2-6'!W4,'Emission Inventory Scope 2-6'!W5))</f>
      </c>
      <c r="AL33" s="77">
        <f>AJ33/(D3 +'Emission Inventory Scope 2-6'!D2)</f>
      </c>
      <c r="AM33" t="s" s="65">
        <v>325</v>
      </c>
      <c r="AN33" t="s" s="64">
        <v>192</v>
      </c>
      <c r="AO33" t="s" s="64">
        <v>182</v>
      </c>
      <c r="AP33" t="s" s="65">
        <v>292</v>
      </c>
      <c r="AQ33" t="s" s="65">
        <v>293</v>
      </c>
      <c r="AR33" t="s" s="65">
        <v>318</v>
      </c>
    </row>
    <row r="34">
      <c r="A34" s="35"/>
      <c r="B34" s="35"/>
      <c r="F34" s="35"/>
      <c r="G34" t="s" s="64">
        <v>288</v>
      </c>
      <c r="H34" s="35"/>
      <c r="I34" t="s" s="64">
        <v>58</v>
      </c>
      <c r="J34" t="s" s="64">
        <v>58</v>
      </c>
      <c r="K34" s="65">
        <f>AM34*AO34</f>
      </c>
      <c r="L34" t="s" s="64">
        <v>192</v>
      </c>
      <c r="M34" t="s" s="64">
        <v>1</v>
      </c>
      <c r="N34" t="s" s="65">
        <v>193</v>
      </c>
      <c r="O34" t="s" s="65">
        <v>35</v>
      </c>
      <c r="P34" t="s" s="65">
        <v>35</v>
      </c>
      <c r="Q34" t="s" s="65">
        <v>35</v>
      </c>
      <c r="R34" t="s" s="65">
        <v>35</v>
      </c>
      <c r="S34" t="s" s="65">
        <v>35</v>
      </c>
      <c r="T34" t="s" s="65">
        <v>35</v>
      </c>
      <c r="U34" t="s" s="64">
        <v>40</v>
      </c>
      <c r="V34" t="s" s="65">
        <v>252</v>
      </c>
      <c r="W34" t="s" s="65">
        <v>35</v>
      </c>
      <c r="X34" t="s" s="65">
        <v>35</v>
      </c>
      <c r="Y34" t="s" s="65">
        <v>35</v>
      </c>
      <c r="Z34" t="s" s="65">
        <v>35</v>
      </c>
      <c r="AA34" t="s" s="65">
        <v>35</v>
      </c>
      <c r="AB34" t="s" s="65">
        <v>35</v>
      </c>
      <c r="AC34" s="65">
        <f>K34*N34*V34/1000</f>
      </c>
      <c r="AD34" s="65">
        <f>K34*O34*W34/1000</f>
      </c>
      <c r="AE34" s="65">
        <f>K34*P34*X34/1000</f>
      </c>
      <c r="AF34" s="65">
        <f>K34*Q34*Y34/1000</f>
      </c>
      <c r="AG34" s="65">
        <f>K34*R34*Z34/1000</f>
      </c>
      <c r="AH34" s="65">
        <f>K34*S34*AA34/1000</f>
      </c>
      <c r="AI34" s="65">
        <f>K34*T34*AB34/1000</f>
      </c>
      <c r="AJ34" s="65">
        <f>SUM(AC34:AI34)</f>
      </c>
      <c r="AK34" s="77">
        <f>AJ34/(D3 +SUM('Emission Inventory Scope 2-6'!W4,'Emission Inventory Scope 2-6'!W5))</f>
      </c>
      <c r="AL34" s="77">
        <f>AJ34/(D3 +'Emission Inventory Scope 2-6'!D2)</f>
      </c>
      <c r="AM34" t="s" s="65">
        <v>326</v>
      </c>
      <c r="AN34" t="s" s="64">
        <v>192</v>
      </c>
      <c r="AO34" t="s" s="64">
        <v>182</v>
      </c>
      <c r="AP34" t="s" s="65">
        <v>327</v>
      </c>
      <c r="AQ34" t="s" s="65">
        <v>1</v>
      </c>
      <c r="AR34" t="s" s="65">
        <v>1</v>
      </c>
    </row>
    <row r="35">
      <c r="A35" s="35"/>
      <c r="B35" s="35"/>
      <c r="F35" s="35"/>
      <c r="G35" t="s" s="64">
        <v>288</v>
      </c>
      <c r="H35" s="35"/>
      <c r="I35" t="s" s="64">
        <v>59</v>
      </c>
      <c r="J35" t="s" s="64">
        <v>328</v>
      </c>
      <c r="K35" s="65">
        <f>AM35*AO35</f>
      </c>
      <c r="L35" t="s" s="64">
        <v>192</v>
      </c>
      <c r="M35" t="s" s="64">
        <v>1</v>
      </c>
      <c r="N35" t="s" s="65">
        <v>35</v>
      </c>
      <c r="O35" t="s" s="65">
        <v>329</v>
      </c>
      <c r="P35" t="s" s="65">
        <v>35</v>
      </c>
      <c r="Q35" t="s" s="65">
        <v>35</v>
      </c>
      <c r="R35" t="s" s="65">
        <v>35</v>
      </c>
      <c r="S35" t="s" s="65">
        <v>35</v>
      </c>
      <c r="T35" t="s" s="65">
        <v>35</v>
      </c>
      <c r="U35" t="s" s="64">
        <v>17</v>
      </c>
      <c r="V35" t="s" s="65">
        <v>35</v>
      </c>
      <c r="W35" t="s" s="65">
        <v>253</v>
      </c>
      <c r="X35" t="s" s="65">
        <v>35</v>
      </c>
      <c r="Y35" t="s" s="65">
        <v>35</v>
      </c>
      <c r="Z35" t="s" s="65">
        <v>35</v>
      </c>
      <c r="AA35" t="s" s="65">
        <v>35</v>
      </c>
      <c r="AB35" t="s" s="65">
        <v>35</v>
      </c>
      <c r="AC35" s="65">
        <f>K35*N35*V35/1000</f>
      </c>
      <c r="AD35" s="65">
        <f>K35*O35*W35/1000</f>
      </c>
      <c r="AE35" s="65">
        <f>K35*P35*X35/1000</f>
      </c>
      <c r="AF35" s="65">
        <f>K35*Q35*Y35/1000</f>
      </c>
      <c r="AG35" s="65">
        <f>K35*R35*Z35/1000</f>
      </c>
      <c r="AH35" s="65">
        <f>K35*S35*AA35/1000</f>
      </c>
      <c r="AI35" s="65">
        <f>K35*T35*AB35/1000</f>
      </c>
      <c r="AJ35" s="65">
        <f>SUM(AC35:AI35)</f>
      </c>
      <c r="AK35" s="77">
        <f>AJ35/(D3 +SUM('Emission Inventory Scope 2-6'!W4,'Emission Inventory Scope 2-6'!W5))</f>
      </c>
      <c r="AL35" s="77">
        <f>AJ35/(D3 +'Emission Inventory Scope 2-6'!D2)</f>
      </c>
      <c r="AM35" t="s" s="65">
        <v>330</v>
      </c>
      <c r="AN35" t="s" s="64">
        <v>192</v>
      </c>
      <c r="AO35" t="s" s="64">
        <v>182</v>
      </c>
      <c r="AP35" t="s" s="65">
        <v>327</v>
      </c>
      <c r="AQ35" t="s" s="65">
        <v>1</v>
      </c>
      <c r="AR35" t="s" s="65">
        <v>1</v>
      </c>
    </row>
    <row r="36">
      <c r="A36" s="35"/>
      <c r="B36" s="37"/>
      <c r="C36" s="36"/>
      <c r="D36" s="36"/>
      <c r="E36" s="36"/>
      <c r="F36" s="37"/>
      <c r="G36" t="s" s="64">
        <v>288</v>
      </c>
      <c r="H36" s="37"/>
      <c r="I36" t="s" s="64">
        <v>60</v>
      </c>
      <c r="J36" t="s" s="64">
        <v>328</v>
      </c>
      <c r="K36" s="65">
        <f>AM36*AO36</f>
      </c>
      <c r="L36" t="s" s="64">
        <v>192</v>
      </c>
      <c r="M36" t="s" s="64">
        <v>1</v>
      </c>
      <c r="N36" t="s" s="65">
        <v>35</v>
      </c>
      <c r="O36" t="s" s="65">
        <v>329</v>
      </c>
      <c r="P36" t="s" s="65">
        <v>35</v>
      </c>
      <c r="Q36" t="s" s="65">
        <v>35</v>
      </c>
      <c r="R36" t="s" s="65">
        <v>35</v>
      </c>
      <c r="S36" t="s" s="65">
        <v>35</v>
      </c>
      <c r="T36" t="s" s="65">
        <v>35</v>
      </c>
      <c r="U36" t="s" s="64">
        <v>17</v>
      </c>
      <c r="V36" t="s" s="65">
        <v>35</v>
      </c>
      <c r="W36" t="s" s="65">
        <v>253</v>
      </c>
      <c r="X36" t="s" s="65">
        <v>35</v>
      </c>
      <c r="Y36" t="s" s="65">
        <v>35</v>
      </c>
      <c r="Z36" t="s" s="65">
        <v>35</v>
      </c>
      <c r="AA36" t="s" s="65">
        <v>35</v>
      </c>
      <c r="AB36" t="s" s="65">
        <v>35</v>
      </c>
      <c r="AC36" s="65">
        <f>K36*N36*V36/1000</f>
      </c>
      <c r="AD36" s="65">
        <f>K36*O36*W36/1000</f>
      </c>
      <c r="AE36" s="65">
        <f>K36*P36*X36/1000</f>
      </c>
      <c r="AF36" s="65">
        <f>K36*Q36*Y36/1000</f>
      </c>
      <c r="AG36" s="65">
        <f>K36*R36*Z36/1000</f>
      </c>
      <c r="AH36" s="65">
        <f>K36*S36*AA36/1000</f>
      </c>
      <c r="AI36" s="65">
        <f>K36*T36*AB36/1000</f>
      </c>
      <c r="AJ36" s="65">
        <f>SUM(AC36:AI36)</f>
      </c>
      <c r="AK36" s="77">
        <f>AJ36/(D3 +SUM('Emission Inventory Scope 2-6'!W4,'Emission Inventory Scope 2-6'!W5))</f>
      </c>
      <c r="AL36" s="77">
        <f>AJ36/(D3 +'Emission Inventory Scope 2-6'!D2)</f>
      </c>
      <c r="AM36" t="s" s="65">
        <v>331</v>
      </c>
      <c r="AN36" t="s" s="64">
        <v>192</v>
      </c>
      <c r="AO36" t="s" s="64">
        <v>182</v>
      </c>
      <c r="AP36" t="s" s="65">
        <v>327</v>
      </c>
      <c r="AQ36" t="s" s="65">
        <v>1</v>
      </c>
      <c r="AR36" t="s" s="65">
        <v>1</v>
      </c>
    </row>
    <row r="37">
      <c r="A37" s="35"/>
      <c r="B37" t="s" s="57">
        <v>332</v>
      </c>
      <c r="C37" t="s" s="54">
        <v>61</v>
      </c>
      <c r="D37" s="48"/>
      <c r="E37" s="48"/>
      <c r="F37" s="49"/>
      <c r="G37" t="s" s="58">
        <v>1</v>
      </c>
      <c r="H37" t="s" s="58">
        <v>286</v>
      </c>
      <c r="I37" t="s" s="58">
        <v>1</v>
      </c>
      <c r="J37" t="s" s="58">
        <v>1</v>
      </c>
      <c r="K37" t="s" s="59">
        <v>1</v>
      </c>
      <c r="L37" t="s" s="58">
        <v>1</v>
      </c>
      <c r="M37" t="s" s="58">
        <v>1</v>
      </c>
      <c r="N37" t="s" s="59">
        <v>1</v>
      </c>
      <c r="O37" t="s" s="59">
        <v>1</v>
      </c>
      <c r="P37" t="s" s="59">
        <v>1</v>
      </c>
      <c r="Q37" t="s" s="59">
        <v>1</v>
      </c>
      <c r="R37" t="s" s="59">
        <v>1</v>
      </c>
      <c r="S37" t="s" s="59">
        <v>1</v>
      </c>
      <c r="T37" t="s" s="59">
        <v>1</v>
      </c>
      <c r="U37" t="s" s="58">
        <v>1</v>
      </c>
      <c r="V37" t="s" s="59">
        <v>1</v>
      </c>
      <c r="W37" t="s" s="59">
        <v>1</v>
      </c>
      <c r="X37" t="s" s="59">
        <v>1</v>
      </c>
      <c r="Y37" t="s" s="59">
        <v>1</v>
      </c>
      <c r="Z37" t="s" s="59">
        <v>1</v>
      </c>
      <c r="AA37" t="s" s="59">
        <v>1</v>
      </c>
      <c r="AB37" t="s" s="59">
        <v>1</v>
      </c>
      <c r="AC37" t="s" s="59">
        <v>1</v>
      </c>
      <c r="AD37" t="s" s="59">
        <v>1</v>
      </c>
      <c r="AE37" t="s" s="59">
        <v>1</v>
      </c>
      <c r="AF37" t="s" s="59">
        <v>1</v>
      </c>
      <c r="AG37" t="s" s="59">
        <v>1</v>
      </c>
      <c r="AH37" t="s" s="59">
        <v>1</v>
      </c>
      <c r="AI37" t="s" s="59">
        <v>1</v>
      </c>
      <c r="AJ37" t="s" s="59">
        <v>1</v>
      </c>
      <c r="AK37" t="s" s="76">
        <v>1</v>
      </c>
      <c r="AL37" t="s" s="76">
        <v>1</v>
      </c>
      <c r="AM37" t="s" s="59">
        <v>1</v>
      </c>
      <c r="AN37" t="s" s="58">
        <v>1</v>
      </c>
      <c r="AO37" t="s" s="58">
        <v>1</v>
      </c>
      <c r="AP37" t="s" s="59">
        <v>1</v>
      </c>
      <c r="AQ37" t="s" s="59">
        <v>1</v>
      </c>
      <c r="AR37" t="s" s="59">
        <v>1</v>
      </c>
    </row>
  </sheetData>
  <mergeCells count="35">
    <mergeCell ref="B3:C4"/>
    <mergeCell ref="D3:E4"/>
    <mergeCell ref="F3:F4"/>
    <mergeCell ref="G3:G4"/>
    <mergeCell ref="H3:H4"/>
    <mergeCell ref="I3:I4"/>
    <mergeCell ref="J3:J4"/>
    <mergeCell ref="K3:K4"/>
    <mergeCell ref="L3:L4"/>
    <mergeCell ref="M3:M4"/>
    <mergeCell ref="U3:U4"/>
    <mergeCell ref="N3:T3"/>
    <mergeCell ref="V3:AB3"/>
    <mergeCell ref="AC3:AI3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C5:F5"/>
    <mergeCell ref="B6:B13"/>
    <mergeCell ref="H6:H13"/>
    <mergeCell ref="C6:F13"/>
    <mergeCell ref="B14:B15"/>
    <mergeCell ref="H14:H15"/>
    <mergeCell ref="C14:F15"/>
    <mergeCell ref="C16:F16"/>
    <mergeCell ref="B17:B36"/>
    <mergeCell ref="H17:H36"/>
    <mergeCell ref="C17:F36"/>
    <mergeCell ref="C37:F3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38"/>
  <sheetViews>
    <sheetView workbookViewId="0"/>
  </sheetViews>
  <sheetFormatPr defaultRowHeight="15.0"/>
  <cols>
    <col min="1" max="1" width="9.0" customWidth="true"/>
    <col min="2" max="2" width="20.0" customWidth="true"/>
    <col min="3" max="3" width="19.0" customWidth="true"/>
    <col min="4" max="4" width="19.0" customWidth="true"/>
    <col min="5" max="5" width="20.0" customWidth="true"/>
    <col min="6" max="6" width="30.0" customWidth="true"/>
    <col min="7" max="7" width="5.0" customWidth="true"/>
    <col min="8" max="8" width="50.0" customWidth="true"/>
    <col min="9" max="9" width="17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15.0" customWidth="true"/>
    <col min="16" max="16" width="13.0" customWidth="true"/>
    <col min="17" max="17" width="35.0" customWidth="true"/>
    <col min="18" max="18" width="17.0" customWidth="true"/>
    <col min="19" max="19" width="24.0" customWidth="true"/>
    <col min="20" max="20" width="15.0" customWidth="true"/>
    <col min="21" max="21" width="60.0" customWidth="true"/>
    <col min="22" max="22" width="22.0" customWidth="true"/>
    <col min="23" max="23" width="22.0" customWidth="true"/>
    <col min="24" max="24" width="28.0" customWidth="true"/>
    <col min="25" max="25" width="19.0" customWidth="true"/>
    <col min="26" max="26" width="18.0" customWidth="true"/>
  </cols>
  <sheetData>
    <row r="1">
      <c r="J1" t="s" s="19">
        <v>149</v>
      </c>
      <c r="K1" t="s" s="19">
        <v>150</v>
      </c>
      <c r="L1" t="s" s="19">
        <v>151</v>
      </c>
      <c r="M1" t="s" s="19">
        <v>152</v>
      </c>
      <c r="N1" t="s" s="19">
        <v>153</v>
      </c>
    </row>
    <row r="2">
      <c r="B2" t="s" s="47">
        <v>154</v>
      </c>
      <c r="C2" s="48"/>
      <c r="D2" s="68">
        <f>SUM(W4,W5,W7,W8,W9,W10,W11,W13,W14,W15,W30,W31,W33,W34,W35,W36,W38)</f>
      </c>
      <c r="E2" s="48"/>
      <c r="F2" t="s" s="47">
        <v>155</v>
      </c>
      <c r="G2" t="s" s="47">
        <v>156</v>
      </c>
      <c r="H2" s="49"/>
      <c r="I2" t="s" s="47">
        <v>157</v>
      </c>
      <c r="J2" t="s" s="47">
        <v>158</v>
      </c>
      <c r="K2" t="s" s="47">
        <v>159</v>
      </c>
      <c r="L2" t="s" s="47">
        <v>160</v>
      </c>
      <c r="M2" t="s" s="47">
        <v>161</v>
      </c>
      <c r="N2" s="47"/>
      <c r="O2" t="s" s="47">
        <v>162</v>
      </c>
      <c r="P2" t="s" s="50">
        <v>163</v>
      </c>
      <c r="Q2" t="s" s="47">
        <v>164</v>
      </c>
      <c r="R2" t="s" s="47">
        <v>165</v>
      </c>
      <c r="S2" t="s" s="47">
        <v>166</v>
      </c>
      <c r="T2" t="s" s="47">
        <v>167</v>
      </c>
      <c r="U2" t="s" s="47">
        <v>9</v>
      </c>
      <c r="V2" t="s" s="47">
        <v>168</v>
      </c>
      <c r="W2" t="s" s="50">
        <v>169</v>
      </c>
      <c r="X2" t="s" s="47">
        <v>170</v>
      </c>
      <c r="Y2" t="s" s="47">
        <v>171</v>
      </c>
      <c r="Z2" t="s" s="47">
        <v>172</v>
      </c>
    </row>
    <row r="3">
      <c r="B3" t="s" s="16">
        <v>173</v>
      </c>
      <c r="C3" t="s" s="16">
        <v>174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/>
      <c r="B4" t="s" s="57">
        <v>175</v>
      </c>
      <c r="C4" t="s" s="54">
        <v>64</v>
      </c>
      <c r="D4" s="48"/>
      <c r="E4" s="48"/>
      <c r="F4" s="49"/>
      <c r="G4" t="s" s="58">
        <v>176</v>
      </c>
      <c r="H4" t="s" s="58">
        <v>68</v>
      </c>
      <c r="I4" t="s" s="58">
        <v>177</v>
      </c>
      <c r="J4" s="58"/>
      <c r="K4" s="58"/>
      <c r="L4" s="58"/>
      <c r="M4" s="58"/>
      <c r="N4" s="58"/>
      <c r="O4" t="s" s="58">
        <v>35</v>
      </c>
      <c r="P4" t="s" s="58">
        <v>178</v>
      </c>
      <c r="Q4" s="59">
        <f>X4*Z4</f>
      </c>
      <c r="R4" t="s" s="58">
        <v>179</v>
      </c>
      <c r="S4" t="s" s="58">
        <v>1</v>
      </c>
      <c r="T4" t="s" s="59">
        <v>180</v>
      </c>
      <c r="U4" t="s" s="58">
        <v>17</v>
      </c>
      <c r="V4" s="59">
        <f>Q4*T4/1000</f>
      </c>
      <c r="W4" s="59">
        <f>SUM(V4:V4)</f>
      </c>
      <c r="X4" t="s" s="59">
        <v>181</v>
      </c>
      <c r="Y4" t="s" s="58">
        <v>179</v>
      </c>
      <c r="Z4" t="s" s="59">
        <v>182</v>
      </c>
    </row>
    <row r="5">
      <c r="A5" s="35"/>
      <c r="B5" t="s" s="57">
        <v>183</v>
      </c>
      <c r="C5" t="s" s="54">
        <v>71</v>
      </c>
      <c r="D5" s="48"/>
      <c r="E5" s="48"/>
      <c r="F5" s="49"/>
      <c r="G5" t="s" s="58">
        <v>177</v>
      </c>
      <c r="H5" t="s" s="58">
        <v>1</v>
      </c>
      <c r="I5" t="s" s="58">
        <v>184</v>
      </c>
      <c r="J5" t="s" s="58">
        <v>1</v>
      </c>
      <c r="K5" t="s" s="58">
        <v>1</v>
      </c>
      <c r="L5" t="s" s="58">
        <v>1</v>
      </c>
      <c r="M5" t="s" s="58">
        <v>1</v>
      </c>
      <c r="N5" t="s" s="58">
        <v>1</v>
      </c>
      <c r="O5" t="s" s="58">
        <v>1</v>
      </c>
      <c r="P5" t="s" s="58">
        <v>1</v>
      </c>
      <c r="Q5" t="s" s="59">
        <v>1</v>
      </c>
      <c r="R5" t="s" s="58">
        <v>1</v>
      </c>
      <c r="S5" t="s" s="58">
        <v>1</v>
      </c>
      <c r="T5" t="s" s="59">
        <v>1</v>
      </c>
      <c r="U5" t="s" s="58">
        <v>1</v>
      </c>
      <c r="V5" t="s" s="59">
        <v>1</v>
      </c>
      <c r="W5" t="s" s="59">
        <v>1</v>
      </c>
      <c r="X5" t="s" s="59">
        <v>1</v>
      </c>
      <c r="Y5" t="s" s="58">
        <v>1</v>
      </c>
      <c r="Z5" t="s" s="59">
        <v>1</v>
      </c>
    </row>
    <row r="6">
      <c r="B6" t="s" s="16">
        <v>185</v>
      </c>
      <c r="C6" t="s" s="16">
        <v>186</v>
      </c>
    </row>
    <row r="7">
      <c r="A7" s="35"/>
      <c r="B7" t="s" s="57">
        <v>187</v>
      </c>
      <c r="C7" t="s" s="54">
        <v>74</v>
      </c>
      <c r="D7" s="48"/>
      <c r="E7" s="48"/>
      <c r="F7" s="49"/>
      <c r="G7" t="s" s="58">
        <v>177</v>
      </c>
      <c r="H7" t="s" s="58">
        <v>1</v>
      </c>
      <c r="I7" t="s" s="58">
        <v>184</v>
      </c>
      <c r="J7" t="s" s="58">
        <v>1</v>
      </c>
      <c r="K7" t="s" s="58">
        <v>1</v>
      </c>
      <c r="L7" t="s" s="58">
        <v>1</v>
      </c>
      <c r="M7" t="s" s="58">
        <v>1</v>
      </c>
      <c r="N7" t="s" s="58">
        <v>1</v>
      </c>
      <c r="O7" t="s" s="58">
        <v>1</v>
      </c>
      <c r="P7" t="s" s="58">
        <v>1</v>
      </c>
      <c r="Q7" t="s" s="59">
        <v>1</v>
      </c>
      <c r="R7" t="s" s="58">
        <v>1</v>
      </c>
      <c r="S7" t="s" s="58">
        <v>1</v>
      </c>
      <c r="T7" t="s" s="59">
        <v>1</v>
      </c>
      <c r="U7" t="s" s="58">
        <v>1</v>
      </c>
      <c r="V7" t="s" s="59">
        <v>1</v>
      </c>
      <c r="W7" t="s" s="59">
        <v>1</v>
      </c>
      <c r="X7" t="s" s="59">
        <v>1</v>
      </c>
      <c r="Y7" t="s" s="58">
        <v>1</v>
      </c>
      <c r="Z7" t="s" s="59">
        <v>1</v>
      </c>
    </row>
    <row r="8">
      <c r="A8" s="35"/>
      <c r="B8" t="s" s="57">
        <v>188</v>
      </c>
      <c r="C8" t="s" s="54">
        <v>76</v>
      </c>
      <c r="D8" s="48"/>
      <c r="E8" s="48"/>
      <c r="F8" s="49"/>
      <c r="G8" t="s" s="58">
        <v>177</v>
      </c>
      <c r="H8" t="s" s="58">
        <v>1</v>
      </c>
      <c r="I8" t="s" s="58">
        <v>184</v>
      </c>
      <c r="J8" t="s" s="58">
        <v>1</v>
      </c>
      <c r="K8" t="s" s="58">
        <v>1</v>
      </c>
      <c r="L8" t="s" s="58">
        <v>1</v>
      </c>
      <c r="M8" t="s" s="58">
        <v>1</v>
      </c>
      <c r="N8" t="s" s="58">
        <v>1</v>
      </c>
      <c r="O8" t="s" s="58">
        <v>1</v>
      </c>
      <c r="P8" t="s" s="58">
        <v>1</v>
      </c>
      <c r="Q8" t="s" s="59">
        <v>1</v>
      </c>
      <c r="R8" t="s" s="58">
        <v>1</v>
      </c>
      <c r="S8" t="s" s="58">
        <v>1</v>
      </c>
      <c r="T8" t="s" s="59">
        <v>1</v>
      </c>
      <c r="U8" t="s" s="58">
        <v>1</v>
      </c>
      <c r="V8" t="s" s="59">
        <v>1</v>
      </c>
      <c r="W8" t="s" s="59">
        <v>1</v>
      </c>
      <c r="X8" t="s" s="59">
        <v>1</v>
      </c>
      <c r="Y8" t="s" s="58">
        <v>1</v>
      </c>
      <c r="Z8" t="s" s="59">
        <v>1</v>
      </c>
    </row>
    <row r="9">
      <c r="A9" s="35"/>
      <c r="B9" t="s" s="57">
        <v>189</v>
      </c>
      <c r="C9" t="s" s="54">
        <v>78</v>
      </c>
      <c r="D9" s="48"/>
      <c r="E9" s="48"/>
      <c r="F9" s="49"/>
      <c r="G9" t="s" s="58">
        <v>177</v>
      </c>
      <c r="H9" t="s" s="58">
        <v>1</v>
      </c>
      <c r="I9" t="s" s="58">
        <v>184</v>
      </c>
      <c r="J9" t="s" s="58">
        <v>1</v>
      </c>
      <c r="K9" t="s" s="58">
        <v>1</v>
      </c>
      <c r="L9" t="s" s="58">
        <v>1</v>
      </c>
      <c r="M9" t="s" s="58">
        <v>1</v>
      </c>
      <c r="N9" t="s" s="58">
        <v>1</v>
      </c>
      <c r="O9" t="s" s="58">
        <v>1</v>
      </c>
      <c r="P9" t="s" s="58">
        <v>1</v>
      </c>
      <c r="Q9" t="s" s="59">
        <v>1</v>
      </c>
      <c r="R9" t="s" s="58">
        <v>1</v>
      </c>
      <c r="S9" t="s" s="58">
        <v>1</v>
      </c>
      <c r="T9" t="s" s="59">
        <v>1</v>
      </c>
      <c r="U9" t="s" s="58">
        <v>1</v>
      </c>
      <c r="V9" t="s" s="59">
        <v>1</v>
      </c>
      <c r="W9" t="s" s="59">
        <v>1</v>
      </c>
      <c r="X9" t="s" s="59">
        <v>1</v>
      </c>
      <c r="Y9" t="s" s="58">
        <v>1</v>
      </c>
      <c r="Z9" t="s" s="59">
        <v>1</v>
      </c>
    </row>
    <row r="10">
      <c r="A10" s="35"/>
      <c r="B10" t="s" s="57">
        <v>190</v>
      </c>
      <c r="C10" t="s" s="54">
        <v>80</v>
      </c>
      <c r="D10" s="48"/>
      <c r="E10" s="48"/>
      <c r="F10" s="49"/>
      <c r="G10" t="s" s="58">
        <v>177</v>
      </c>
      <c r="H10" t="s" s="58">
        <v>1</v>
      </c>
      <c r="I10" t="s" s="58">
        <v>184</v>
      </c>
      <c r="J10" t="s" s="58">
        <v>1</v>
      </c>
      <c r="K10" t="s" s="58">
        <v>1</v>
      </c>
      <c r="L10" t="s" s="58">
        <v>1</v>
      </c>
      <c r="M10" t="s" s="58">
        <v>1</v>
      </c>
      <c r="N10" t="s" s="58">
        <v>1</v>
      </c>
      <c r="O10" t="s" s="58">
        <v>1</v>
      </c>
      <c r="P10" t="s" s="58">
        <v>1</v>
      </c>
      <c r="Q10" t="s" s="59">
        <v>1</v>
      </c>
      <c r="R10" t="s" s="58">
        <v>1</v>
      </c>
      <c r="S10" t="s" s="58">
        <v>1</v>
      </c>
      <c r="T10" t="s" s="59">
        <v>1</v>
      </c>
      <c r="U10" t="s" s="58">
        <v>1</v>
      </c>
      <c r="V10" t="s" s="59">
        <v>1</v>
      </c>
      <c r="W10" t="s" s="59">
        <v>1</v>
      </c>
      <c r="X10" t="s" s="59">
        <v>1</v>
      </c>
      <c r="Y10" t="s" s="58">
        <v>1</v>
      </c>
      <c r="Z10" t="s" s="59">
        <v>1</v>
      </c>
    </row>
    <row r="11">
      <c r="A11" s="35"/>
      <c r="B11" t="s" s="57">
        <v>191</v>
      </c>
      <c r="C11" t="s" s="54">
        <v>82</v>
      </c>
      <c r="D11" s="48"/>
      <c r="E11" s="48"/>
      <c r="F11" s="49"/>
      <c r="G11" t="s" s="58">
        <v>176</v>
      </c>
      <c r="H11" t="s" s="58">
        <v>85</v>
      </c>
      <c r="I11" t="s" s="58">
        <v>177</v>
      </c>
      <c r="J11" s="58"/>
      <c r="K11" s="58"/>
      <c r="L11" s="58"/>
      <c r="M11" s="58"/>
      <c r="N11" s="58"/>
      <c r="O11" t="s" s="58">
        <v>35</v>
      </c>
      <c r="P11" t="s" s="58">
        <v>178</v>
      </c>
      <c r="Q11" s="59">
        <f>X11*Z11</f>
      </c>
      <c r="R11" t="s" s="58">
        <v>192</v>
      </c>
      <c r="S11" t="s" s="58">
        <v>1</v>
      </c>
      <c r="T11" t="s" s="59">
        <v>193</v>
      </c>
      <c r="U11" t="s" s="58">
        <v>86</v>
      </c>
      <c r="V11" s="59">
        <f>Q11*T11/1000</f>
      </c>
      <c r="W11" s="59">
        <f>SUM(V11:V11)</f>
      </c>
      <c r="X11" t="s" s="59">
        <v>194</v>
      </c>
      <c r="Y11" t="s" s="58">
        <v>192</v>
      </c>
      <c r="Z11" t="s" s="59">
        <v>182</v>
      </c>
    </row>
    <row r="12">
      <c r="B12" t="s" s="16">
        <v>195</v>
      </c>
      <c r="C12" t="s" s="16">
        <v>196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/>
      <c r="B13" t="s" s="57">
        <v>197</v>
      </c>
      <c r="C13" t="s" s="54">
        <v>117</v>
      </c>
      <c r="D13" s="48"/>
      <c r="E13" s="48"/>
      <c r="F13" s="49"/>
      <c r="G13" t="s" s="58">
        <v>176</v>
      </c>
      <c r="H13" t="s" s="58">
        <v>91</v>
      </c>
      <c r="I13" t="s" s="58">
        <v>177</v>
      </c>
      <c r="J13" s="58"/>
      <c r="K13" s="58"/>
      <c r="L13" s="58"/>
      <c r="M13" s="58"/>
      <c r="N13" s="58"/>
      <c r="O13" t="s" s="58">
        <v>35</v>
      </c>
      <c r="P13" t="s" s="58">
        <v>178</v>
      </c>
      <c r="Q13" s="59">
        <f>X13*Z13</f>
      </c>
      <c r="R13" t="s" s="58">
        <v>192</v>
      </c>
      <c r="S13" t="s" s="58">
        <v>1</v>
      </c>
      <c r="T13" t="s" s="59">
        <v>198</v>
      </c>
      <c r="U13" t="s" s="58">
        <v>17</v>
      </c>
      <c r="V13" s="59">
        <f>Q13*T13/1000</f>
      </c>
      <c r="W13" s="59">
        <f>SUM(V13:V13)</f>
      </c>
      <c r="X13" t="s" s="59">
        <v>199</v>
      </c>
      <c r="Y13" t="s" s="58">
        <v>192</v>
      </c>
      <c r="Z13" t="s" s="59">
        <v>182</v>
      </c>
    </row>
    <row r="14">
      <c r="A14" s="35"/>
      <c r="B14" t="s" s="57">
        <v>200</v>
      </c>
      <c r="C14" t="s" s="54">
        <v>92</v>
      </c>
      <c r="D14" s="48"/>
      <c r="E14" s="48"/>
      <c r="F14" s="49"/>
      <c r="G14" t="s" s="58">
        <v>177</v>
      </c>
      <c r="H14" t="s" s="58">
        <v>1</v>
      </c>
      <c r="I14" t="s" s="58">
        <v>184</v>
      </c>
      <c r="J14" t="s" s="58">
        <v>1</v>
      </c>
      <c r="K14" t="s" s="58">
        <v>1</v>
      </c>
      <c r="L14" t="s" s="58">
        <v>1</v>
      </c>
      <c r="M14" t="s" s="58">
        <v>1</v>
      </c>
      <c r="N14" t="s" s="58">
        <v>1</v>
      </c>
      <c r="O14" t="s" s="58">
        <v>1</v>
      </c>
      <c r="P14" t="s" s="58">
        <v>1</v>
      </c>
      <c r="Q14" t="s" s="59">
        <v>1</v>
      </c>
      <c r="R14" t="s" s="58">
        <v>1</v>
      </c>
      <c r="S14" t="s" s="58">
        <v>1</v>
      </c>
      <c r="T14" t="s" s="59">
        <v>1</v>
      </c>
      <c r="U14" t="s" s="58">
        <v>1</v>
      </c>
      <c r="V14" t="s" s="59">
        <v>1</v>
      </c>
      <c r="W14" t="s" s="59">
        <v>1</v>
      </c>
      <c r="X14" t="s" s="59">
        <v>1</v>
      </c>
      <c r="Y14" t="s" s="58">
        <v>1</v>
      </c>
      <c r="Z14" t="s" s="59">
        <v>1</v>
      </c>
    </row>
    <row r="15">
      <c r="A15" s="35"/>
      <c r="B15" t="s" s="62">
        <v>201</v>
      </c>
      <c r="C15" t="s" s="51">
        <v>94</v>
      </c>
      <c r="D15" s="46"/>
      <c r="E15" s="46"/>
      <c r="F15" s="63"/>
      <c r="G15" t="s" s="58">
        <v>176</v>
      </c>
      <c r="H15" t="s" s="58">
        <v>97</v>
      </c>
      <c r="I15" t="s" s="58">
        <v>177</v>
      </c>
      <c r="J15" s="58"/>
      <c r="K15" s="58"/>
      <c r="L15" s="58"/>
      <c r="M15" s="58"/>
      <c r="N15" s="58"/>
      <c r="O15" t="s" s="58">
        <v>35</v>
      </c>
      <c r="P15" t="s" s="58">
        <v>178</v>
      </c>
      <c r="Q15" s="59">
        <f>X15*Z15</f>
      </c>
      <c r="R15" t="s" s="58">
        <v>192</v>
      </c>
      <c r="S15" t="s" s="58">
        <v>1</v>
      </c>
      <c r="T15" t="s" s="59">
        <v>202</v>
      </c>
      <c r="U15" t="s" s="58">
        <v>17</v>
      </c>
      <c r="V15" s="59">
        <f>Q15*T15/1000</f>
      </c>
      <c r="W15" s="66">
        <f>SUM(V15:V29)</f>
      </c>
      <c r="X15" t="s" s="59">
        <v>203</v>
      </c>
      <c r="Y15" t="s" s="58">
        <v>192</v>
      </c>
      <c r="Z15" t="s" s="59">
        <v>182</v>
      </c>
    </row>
    <row r="16">
      <c r="A16" s="35"/>
      <c r="B16" s="35"/>
      <c r="F16" s="35"/>
      <c r="G16" t="s" s="64">
        <v>176</v>
      </c>
      <c r="H16" t="s" s="64">
        <v>98</v>
      </c>
      <c r="I16" t="s" s="64">
        <v>177</v>
      </c>
      <c r="J16" s="64"/>
      <c r="K16" s="64"/>
      <c r="L16" s="64"/>
      <c r="M16" s="64"/>
      <c r="N16" s="64"/>
      <c r="O16" t="s" s="64">
        <v>35</v>
      </c>
      <c r="P16" t="s" s="64">
        <v>178</v>
      </c>
      <c r="Q16" s="65">
        <f>X16*Z16</f>
      </c>
      <c r="R16" t="s" s="64">
        <v>192</v>
      </c>
      <c r="S16" t="s" s="64">
        <v>1</v>
      </c>
      <c r="T16" t="s" s="65">
        <v>202</v>
      </c>
      <c r="U16" t="s" s="64">
        <v>17</v>
      </c>
      <c r="V16" s="65">
        <f>Q16*T16/1000</f>
      </c>
      <c r="W16" s="37"/>
      <c r="X16" t="s" s="65">
        <v>204</v>
      </c>
      <c r="Y16" t="s" s="64">
        <v>192</v>
      </c>
      <c r="Z16" t="s" s="65">
        <v>182</v>
      </c>
    </row>
    <row r="17">
      <c r="A17" s="35"/>
      <c r="B17" s="35"/>
      <c r="F17" s="35"/>
      <c r="G17" t="s" s="64">
        <v>176</v>
      </c>
      <c r="H17" t="s" s="64">
        <v>99</v>
      </c>
      <c r="I17" t="s" s="64">
        <v>177</v>
      </c>
      <c r="J17" s="64"/>
      <c r="K17" s="64"/>
      <c r="L17" s="64"/>
      <c r="M17" s="64"/>
      <c r="N17" s="64"/>
      <c r="O17" t="s" s="64">
        <v>35</v>
      </c>
      <c r="P17" t="s" s="64">
        <v>178</v>
      </c>
      <c r="Q17" s="65">
        <f>X17*Z17</f>
      </c>
      <c r="R17" t="s" s="64">
        <v>192</v>
      </c>
      <c r="S17" t="s" s="64">
        <v>1</v>
      </c>
      <c r="T17" t="s" s="65">
        <v>205</v>
      </c>
      <c r="U17" t="s" s="64">
        <v>17</v>
      </c>
      <c r="V17" s="65">
        <f>Q17*T17/1000</f>
      </c>
      <c r="W17" s="37"/>
      <c r="X17" t="s" s="65">
        <v>206</v>
      </c>
      <c r="Y17" t="s" s="64">
        <v>192</v>
      </c>
      <c r="Z17" t="s" s="65">
        <v>182</v>
      </c>
    </row>
    <row r="18">
      <c r="A18" s="35"/>
      <c r="B18" s="35"/>
      <c r="F18" s="35"/>
      <c r="G18" t="s" s="64">
        <v>176</v>
      </c>
      <c r="H18" t="s" s="64">
        <v>100</v>
      </c>
      <c r="I18" t="s" s="64">
        <v>177</v>
      </c>
      <c r="J18" s="64"/>
      <c r="K18" s="64"/>
      <c r="L18" s="64"/>
      <c r="M18" s="64"/>
      <c r="N18" s="64"/>
      <c r="O18" t="s" s="64">
        <v>35</v>
      </c>
      <c r="P18" t="s" s="64">
        <v>178</v>
      </c>
      <c r="Q18" s="65">
        <f>X18*Z18</f>
      </c>
      <c r="R18" t="s" s="64">
        <v>192</v>
      </c>
      <c r="S18" t="s" s="64">
        <v>1</v>
      </c>
      <c r="T18" t="s" s="65">
        <v>202</v>
      </c>
      <c r="U18" t="s" s="64">
        <v>17</v>
      </c>
      <c r="V18" s="65">
        <f>Q18*T18/1000</f>
      </c>
      <c r="W18" s="37"/>
      <c r="X18" t="s" s="65">
        <v>207</v>
      </c>
      <c r="Y18" t="s" s="64">
        <v>192</v>
      </c>
      <c r="Z18" t="s" s="65">
        <v>182</v>
      </c>
    </row>
    <row r="19">
      <c r="A19" s="35"/>
      <c r="B19" s="35"/>
      <c r="F19" s="35"/>
      <c r="G19" t="s" s="64">
        <v>176</v>
      </c>
      <c r="H19" t="s" s="64">
        <v>101</v>
      </c>
      <c r="I19" t="s" s="64">
        <v>177</v>
      </c>
      <c r="J19" s="64"/>
      <c r="K19" s="64"/>
      <c r="L19" s="64"/>
      <c r="M19" s="64"/>
      <c r="N19" s="64"/>
      <c r="O19" t="s" s="64">
        <v>35</v>
      </c>
      <c r="P19" t="s" s="64">
        <v>178</v>
      </c>
      <c r="Q19" s="65">
        <f>X19*Z19</f>
      </c>
      <c r="R19" t="s" s="64">
        <v>192</v>
      </c>
      <c r="S19" t="s" s="64">
        <v>1</v>
      </c>
      <c r="T19" t="s" s="65">
        <v>205</v>
      </c>
      <c r="U19" t="s" s="64">
        <v>17</v>
      </c>
      <c r="V19" s="65">
        <f>Q19*T19/1000</f>
      </c>
      <c r="W19" s="37"/>
      <c r="X19" t="s" s="65">
        <v>208</v>
      </c>
      <c r="Y19" t="s" s="64">
        <v>192</v>
      </c>
      <c r="Z19" t="s" s="65">
        <v>182</v>
      </c>
    </row>
    <row r="20">
      <c r="A20" s="35"/>
      <c r="B20" s="35"/>
      <c r="F20" s="35"/>
      <c r="G20" t="s" s="64">
        <v>176</v>
      </c>
      <c r="H20" t="s" s="64">
        <v>102</v>
      </c>
      <c r="I20" t="s" s="64">
        <v>177</v>
      </c>
      <c r="J20" s="64"/>
      <c r="K20" s="64"/>
      <c r="L20" s="64"/>
      <c r="M20" s="64"/>
      <c r="N20" s="64"/>
      <c r="O20" t="s" s="64">
        <v>35</v>
      </c>
      <c r="P20" t="s" s="64">
        <v>178</v>
      </c>
      <c r="Q20" s="65">
        <f>X20*Z20</f>
      </c>
      <c r="R20" t="s" s="64">
        <v>192</v>
      </c>
      <c r="S20" t="s" s="64">
        <v>1</v>
      </c>
      <c r="T20" t="s" s="65">
        <v>202</v>
      </c>
      <c r="U20" t="s" s="64">
        <v>17</v>
      </c>
      <c r="V20" s="65">
        <f>Q20*T20/1000</f>
      </c>
      <c r="W20" s="37"/>
      <c r="X20" t="s" s="65">
        <v>209</v>
      </c>
      <c r="Y20" t="s" s="64">
        <v>192</v>
      </c>
      <c r="Z20" t="s" s="65">
        <v>182</v>
      </c>
    </row>
    <row r="21">
      <c r="A21" s="35"/>
      <c r="B21" s="35"/>
      <c r="F21" s="35"/>
      <c r="G21" t="s" s="64">
        <v>176</v>
      </c>
      <c r="H21" t="s" s="64">
        <v>103</v>
      </c>
      <c r="I21" t="s" s="64">
        <v>177</v>
      </c>
      <c r="J21" s="64"/>
      <c r="K21" s="64"/>
      <c r="L21" s="64"/>
      <c r="M21" s="64"/>
      <c r="N21" s="64"/>
      <c r="O21" t="s" s="64">
        <v>35</v>
      </c>
      <c r="P21" t="s" s="64">
        <v>178</v>
      </c>
      <c r="Q21" s="65">
        <f>X21*Z21</f>
      </c>
      <c r="R21" t="s" s="64">
        <v>192</v>
      </c>
      <c r="S21" t="s" s="64">
        <v>1</v>
      </c>
      <c r="T21" t="s" s="65">
        <v>205</v>
      </c>
      <c r="U21" t="s" s="64">
        <v>17</v>
      </c>
      <c r="V21" s="65">
        <f>Q21*T21/1000</f>
      </c>
      <c r="W21" s="37"/>
      <c r="X21" t="s" s="65">
        <v>210</v>
      </c>
      <c r="Y21" t="s" s="64">
        <v>192</v>
      </c>
      <c r="Z21" t="s" s="65">
        <v>182</v>
      </c>
    </row>
    <row r="22">
      <c r="A22" s="35"/>
      <c r="B22" s="35"/>
      <c r="F22" s="35"/>
      <c r="G22" t="s" s="64">
        <v>176</v>
      </c>
      <c r="H22" t="s" s="64">
        <v>104</v>
      </c>
      <c r="I22" t="s" s="64">
        <v>177</v>
      </c>
      <c r="J22" s="64"/>
      <c r="K22" s="64"/>
      <c r="L22" s="64"/>
      <c r="M22" s="64"/>
      <c r="N22" s="64"/>
      <c r="O22" t="s" s="64">
        <v>35</v>
      </c>
      <c r="P22" t="s" s="64">
        <v>178</v>
      </c>
      <c r="Q22" s="65">
        <f>X22*Z22</f>
      </c>
      <c r="R22" t="s" s="64">
        <v>192</v>
      </c>
      <c r="S22" t="s" s="64">
        <v>1</v>
      </c>
      <c r="T22" t="s" s="65">
        <v>205</v>
      </c>
      <c r="U22" t="s" s="64">
        <v>17</v>
      </c>
      <c r="V22" s="65">
        <f>Q22*T22/1000</f>
      </c>
      <c r="W22" s="37"/>
      <c r="X22" t="s" s="65">
        <v>211</v>
      </c>
      <c r="Y22" t="s" s="64">
        <v>192</v>
      </c>
      <c r="Z22" t="s" s="65">
        <v>182</v>
      </c>
    </row>
    <row r="23">
      <c r="A23" s="35"/>
      <c r="B23" s="35"/>
      <c r="F23" s="35"/>
      <c r="G23" t="s" s="64">
        <v>176</v>
      </c>
      <c r="H23" t="s" s="64">
        <v>105</v>
      </c>
      <c r="I23" t="s" s="64">
        <v>177</v>
      </c>
      <c r="J23" s="64"/>
      <c r="K23" s="64"/>
      <c r="L23" s="64"/>
      <c r="M23" s="64"/>
      <c r="N23" s="64"/>
      <c r="O23" t="s" s="64">
        <v>35</v>
      </c>
      <c r="P23" t="s" s="64">
        <v>178</v>
      </c>
      <c r="Q23" s="65">
        <f>X23*Z23</f>
      </c>
      <c r="R23" t="s" s="64">
        <v>192</v>
      </c>
      <c r="S23" t="s" s="64">
        <v>1</v>
      </c>
      <c r="T23" t="s" s="65">
        <v>205</v>
      </c>
      <c r="U23" t="s" s="64">
        <v>17</v>
      </c>
      <c r="V23" s="65">
        <f>Q23*T23/1000</f>
      </c>
      <c r="W23" s="37"/>
      <c r="X23" t="s" s="65">
        <v>212</v>
      </c>
      <c r="Y23" t="s" s="64">
        <v>192</v>
      </c>
      <c r="Z23" t="s" s="65">
        <v>182</v>
      </c>
    </row>
    <row r="24">
      <c r="A24" s="35"/>
      <c r="B24" s="35"/>
      <c r="F24" s="35"/>
      <c r="G24" t="s" s="64">
        <v>176</v>
      </c>
      <c r="H24" t="s" s="64">
        <v>106</v>
      </c>
      <c r="I24" t="s" s="64">
        <v>177</v>
      </c>
      <c r="J24" s="64"/>
      <c r="K24" s="64"/>
      <c r="L24" s="64"/>
      <c r="M24" s="64"/>
      <c r="N24" s="64"/>
      <c r="O24" t="s" s="64">
        <v>35</v>
      </c>
      <c r="P24" t="s" s="64">
        <v>178</v>
      </c>
      <c r="Q24" s="65">
        <f>X24*Z24</f>
      </c>
      <c r="R24" t="s" s="64">
        <v>192</v>
      </c>
      <c r="S24" t="s" s="64">
        <v>1</v>
      </c>
      <c r="T24" t="s" s="65">
        <v>205</v>
      </c>
      <c r="U24" t="s" s="64">
        <v>17</v>
      </c>
      <c r="V24" s="65">
        <f>Q24*T24/1000</f>
      </c>
      <c r="W24" s="37"/>
      <c r="X24" t="s" s="65">
        <v>213</v>
      </c>
      <c r="Y24" t="s" s="64">
        <v>192</v>
      </c>
      <c r="Z24" t="s" s="65">
        <v>182</v>
      </c>
    </row>
    <row r="25">
      <c r="A25" s="35"/>
      <c r="B25" s="35"/>
      <c r="F25" s="35"/>
      <c r="G25" t="s" s="64">
        <v>176</v>
      </c>
      <c r="H25" t="s" s="64">
        <v>107</v>
      </c>
      <c r="I25" t="s" s="64">
        <v>177</v>
      </c>
      <c r="J25" s="64"/>
      <c r="K25" s="64"/>
      <c r="L25" s="64"/>
      <c r="M25" s="64"/>
      <c r="N25" s="64"/>
      <c r="O25" t="s" s="64">
        <v>35</v>
      </c>
      <c r="P25" t="s" s="64">
        <v>178</v>
      </c>
      <c r="Q25" s="65">
        <f>X25*Z25</f>
      </c>
      <c r="R25" t="s" s="64">
        <v>192</v>
      </c>
      <c r="S25" t="s" s="64">
        <v>1</v>
      </c>
      <c r="T25" t="s" s="65">
        <v>202</v>
      </c>
      <c r="U25" t="s" s="64">
        <v>17</v>
      </c>
      <c r="V25" s="65">
        <f>Q25*T25/1000</f>
      </c>
      <c r="W25" s="37"/>
      <c r="X25" t="s" s="65">
        <v>214</v>
      </c>
      <c r="Y25" t="s" s="64">
        <v>192</v>
      </c>
      <c r="Z25" t="s" s="65">
        <v>182</v>
      </c>
    </row>
    <row r="26">
      <c r="A26" s="35"/>
      <c r="B26" s="35"/>
      <c r="F26" s="35"/>
      <c r="G26" t="s" s="64">
        <v>176</v>
      </c>
      <c r="H26" t="s" s="64">
        <v>108</v>
      </c>
      <c r="I26" t="s" s="64">
        <v>177</v>
      </c>
      <c r="J26" s="64"/>
      <c r="K26" s="64"/>
      <c r="L26" s="64"/>
      <c r="M26" s="64"/>
      <c r="N26" s="64"/>
      <c r="O26" t="s" s="64">
        <v>35</v>
      </c>
      <c r="P26" t="s" s="64">
        <v>178</v>
      </c>
      <c r="Q26" s="65">
        <f>X26*Z26</f>
      </c>
      <c r="R26" t="s" s="64">
        <v>192</v>
      </c>
      <c r="S26" t="s" s="64">
        <v>1</v>
      </c>
      <c r="T26" t="s" s="65">
        <v>202</v>
      </c>
      <c r="U26" t="s" s="64">
        <v>17</v>
      </c>
      <c r="V26" s="65">
        <f>Q26*T26/1000</f>
      </c>
      <c r="W26" s="37"/>
      <c r="X26" t="s" s="65">
        <v>215</v>
      </c>
      <c r="Y26" t="s" s="64">
        <v>192</v>
      </c>
      <c r="Z26" t="s" s="65">
        <v>182</v>
      </c>
    </row>
    <row r="27">
      <c r="A27" s="35"/>
      <c r="B27" s="35"/>
      <c r="F27" s="35"/>
      <c r="G27" t="s" s="64">
        <v>176</v>
      </c>
      <c r="H27" t="s" s="64">
        <v>109</v>
      </c>
      <c r="I27" t="s" s="64">
        <v>177</v>
      </c>
      <c r="J27" s="64"/>
      <c r="K27" s="64"/>
      <c r="L27" s="64"/>
      <c r="M27" s="64"/>
      <c r="N27" s="64"/>
      <c r="O27" t="s" s="64">
        <v>35</v>
      </c>
      <c r="P27" t="s" s="64">
        <v>178</v>
      </c>
      <c r="Q27" s="65">
        <f>X27*Z27</f>
      </c>
      <c r="R27" t="s" s="64">
        <v>192</v>
      </c>
      <c r="S27" t="s" s="64">
        <v>1</v>
      </c>
      <c r="T27" t="s" s="65">
        <v>205</v>
      </c>
      <c r="U27" t="s" s="64">
        <v>17</v>
      </c>
      <c r="V27" s="65">
        <f>Q27*T27/1000</f>
      </c>
      <c r="W27" s="37"/>
      <c r="X27" t="s" s="65">
        <v>216</v>
      </c>
      <c r="Y27" t="s" s="64">
        <v>192</v>
      </c>
      <c r="Z27" t="s" s="65">
        <v>182</v>
      </c>
    </row>
    <row r="28">
      <c r="A28" s="35"/>
      <c r="B28" s="35"/>
      <c r="F28" s="35"/>
      <c r="G28" t="s" s="64">
        <v>176</v>
      </c>
      <c r="H28" t="s" s="64">
        <v>110</v>
      </c>
      <c r="I28" t="s" s="64">
        <v>177</v>
      </c>
      <c r="J28" s="64"/>
      <c r="K28" s="64"/>
      <c r="L28" s="64"/>
      <c r="M28" s="64"/>
      <c r="N28" s="64"/>
      <c r="O28" t="s" s="64">
        <v>35</v>
      </c>
      <c r="P28" t="s" s="64">
        <v>178</v>
      </c>
      <c r="Q28" s="65">
        <f>X28*Z28</f>
      </c>
      <c r="R28" t="s" s="64">
        <v>192</v>
      </c>
      <c r="S28" t="s" s="64">
        <v>1</v>
      </c>
      <c r="T28" t="s" s="65">
        <v>217</v>
      </c>
      <c r="U28" t="s" s="64">
        <v>17</v>
      </c>
      <c r="V28" s="65">
        <f>Q28*T28/1000</f>
      </c>
      <c r="W28" s="37"/>
      <c r="X28" t="s" s="65">
        <v>218</v>
      </c>
      <c r="Y28" t="s" s="64">
        <v>192</v>
      </c>
      <c r="Z28" t="s" s="65">
        <v>182</v>
      </c>
    </row>
    <row r="29">
      <c r="A29" s="35"/>
      <c r="B29" s="37"/>
      <c r="C29" s="36"/>
      <c r="D29" s="36"/>
      <c r="E29" s="36"/>
      <c r="F29" s="37"/>
      <c r="G29" t="s" s="64">
        <v>176</v>
      </c>
      <c r="H29" t="s" s="64">
        <v>111</v>
      </c>
      <c r="I29" t="s" s="64">
        <v>177</v>
      </c>
      <c r="J29" s="64"/>
      <c r="K29" s="64"/>
      <c r="L29" s="64"/>
      <c r="M29" s="64"/>
      <c r="N29" s="64"/>
      <c r="O29" t="s" s="64">
        <v>35</v>
      </c>
      <c r="P29" t="s" s="64">
        <v>178</v>
      </c>
      <c r="Q29" s="65">
        <f>X29*Z29</f>
      </c>
      <c r="R29" t="s" s="64">
        <v>192</v>
      </c>
      <c r="S29" t="s" s="64">
        <v>1</v>
      </c>
      <c r="T29" t="s" s="65">
        <v>219</v>
      </c>
      <c r="U29" t="s" s="64">
        <v>17</v>
      </c>
      <c r="V29" s="65">
        <f>Q29*T29/1000</f>
      </c>
      <c r="W29" s="37"/>
      <c r="X29" t="s" s="65">
        <v>220</v>
      </c>
      <c r="Y29" t="s" s="64">
        <v>192</v>
      </c>
      <c r="Z29" t="s" s="65">
        <v>182</v>
      </c>
    </row>
    <row r="30">
      <c r="A30" s="35"/>
      <c r="B30" t="s" s="57">
        <v>221</v>
      </c>
      <c r="C30" t="s" s="54">
        <v>112</v>
      </c>
      <c r="D30" s="48"/>
      <c r="E30" s="48"/>
      <c r="F30" s="49"/>
      <c r="G30" t="s" s="58">
        <v>177</v>
      </c>
      <c r="H30" t="s" s="58">
        <v>1</v>
      </c>
      <c r="I30" t="s" s="58">
        <v>184</v>
      </c>
      <c r="J30" t="s" s="58">
        <v>1</v>
      </c>
      <c r="K30" t="s" s="58">
        <v>1</v>
      </c>
      <c r="L30" t="s" s="58">
        <v>1</v>
      </c>
      <c r="M30" t="s" s="58">
        <v>1</v>
      </c>
      <c r="N30" t="s" s="58">
        <v>1</v>
      </c>
      <c r="O30" t="s" s="58">
        <v>1</v>
      </c>
      <c r="P30" t="s" s="58">
        <v>1</v>
      </c>
      <c r="Q30" t="s" s="59">
        <v>1</v>
      </c>
      <c r="R30" t="s" s="58">
        <v>1</v>
      </c>
      <c r="S30" t="s" s="58">
        <v>1</v>
      </c>
      <c r="T30" t="s" s="59">
        <v>1</v>
      </c>
      <c r="U30" t="s" s="58">
        <v>1</v>
      </c>
      <c r="V30" t="s" s="59">
        <v>1</v>
      </c>
      <c r="W30" t="s" s="59">
        <v>1</v>
      </c>
      <c r="X30" t="s" s="59">
        <v>1</v>
      </c>
      <c r="Y30" t="s" s="58">
        <v>1</v>
      </c>
      <c r="Z30" t="s" s="59">
        <v>1</v>
      </c>
    </row>
    <row r="31">
      <c r="A31" s="35"/>
      <c r="B31" t="s" s="57">
        <v>222</v>
      </c>
      <c r="C31" t="s" s="54">
        <v>114</v>
      </c>
      <c r="D31" s="48"/>
      <c r="E31" s="48"/>
      <c r="F31" s="49"/>
      <c r="G31" t="s" s="58">
        <v>177</v>
      </c>
      <c r="H31" t="s" s="58">
        <v>1</v>
      </c>
      <c r="I31" t="s" s="58">
        <v>184</v>
      </c>
      <c r="J31" t="s" s="58">
        <v>1</v>
      </c>
      <c r="K31" t="s" s="58">
        <v>1</v>
      </c>
      <c r="L31" t="s" s="58">
        <v>1</v>
      </c>
      <c r="M31" t="s" s="58">
        <v>1</v>
      </c>
      <c r="N31" t="s" s="58">
        <v>1</v>
      </c>
      <c r="O31" t="s" s="58">
        <v>1</v>
      </c>
      <c r="P31" t="s" s="58">
        <v>1</v>
      </c>
      <c r="Q31" t="s" s="59">
        <v>1</v>
      </c>
      <c r="R31" t="s" s="58">
        <v>1</v>
      </c>
      <c r="S31" t="s" s="58">
        <v>1</v>
      </c>
      <c r="T31" t="s" s="59">
        <v>1</v>
      </c>
      <c r="U31" t="s" s="58">
        <v>1</v>
      </c>
      <c r="V31" t="s" s="59">
        <v>1</v>
      </c>
      <c r="W31" t="s" s="59">
        <v>1</v>
      </c>
      <c r="X31" t="s" s="59">
        <v>1</v>
      </c>
      <c r="Y31" t="s" s="58">
        <v>1</v>
      </c>
      <c r="Z31" t="s" s="59">
        <v>1</v>
      </c>
    </row>
    <row r="32">
      <c r="B32" t="s" s="16">
        <v>223</v>
      </c>
      <c r="C32" t="s" s="16">
        <v>224</v>
      </c>
    </row>
    <row r="33">
      <c r="A33" s="35"/>
      <c r="B33" t="s" s="57">
        <v>225</v>
      </c>
      <c r="C33" t="s" s="54">
        <v>88</v>
      </c>
      <c r="D33" s="48"/>
      <c r="E33" s="48"/>
      <c r="F33" s="49"/>
      <c r="G33" t="s" s="58">
        <v>177</v>
      </c>
      <c r="H33" t="s" s="58">
        <v>1</v>
      </c>
      <c r="I33" t="s" s="58">
        <v>184</v>
      </c>
      <c r="J33" t="s" s="58">
        <v>1</v>
      </c>
      <c r="K33" t="s" s="58">
        <v>1</v>
      </c>
      <c r="L33" t="s" s="58">
        <v>1</v>
      </c>
      <c r="M33" t="s" s="58">
        <v>1</v>
      </c>
      <c r="N33" t="s" s="58">
        <v>1</v>
      </c>
      <c r="O33" t="s" s="58">
        <v>1</v>
      </c>
      <c r="P33" t="s" s="58">
        <v>1</v>
      </c>
      <c r="Q33" t="s" s="59">
        <v>1</v>
      </c>
      <c r="R33" t="s" s="58">
        <v>1</v>
      </c>
      <c r="S33" t="s" s="58">
        <v>1</v>
      </c>
      <c r="T33" t="s" s="59">
        <v>1</v>
      </c>
      <c r="U33" t="s" s="58">
        <v>1</v>
      </c>
      <c r="V33" t="s" s="59">
        <v>1</v>
      </c>
      <c r="W33" t="s" s="59">
        <v>1</v>
      </c>
      <c r="X33" t="s" s="59">
        <v>1</v>
      </c>
      <c r="Y33" t="s" s="58">
        <v>1</v>
      </c>
      <c r="Z33" t="s" s="59">
        <v>1</v>
      </c>
    </row>
    <row r="34">
      <c r="A34" s="35"/>
      <c r="B34" t="s" s="57">
        <v>226</v>
      </c>
      <c r="C34" t="s" s="54">
        <v>119</v>
      </c>
      <c r="D34" s="48"/>
      <c r="E34" s="48"/>
      <c r="F34" s="49"/>
      <c r="G34" t="s" s="58">
        <v>177</v>
      </c>
      <c r="H34" t="s" s="58">
        <v>1</v>
      </c>
      <c r="I34" t="s" s="58">
        <v>184</v>
      </c>
      <c r="J34" t="s" s="58">
        <v>1</v>
      </c>
      <c r="K34" t="s" s="58">
        <v>1</v>
      </c>
      <c r="L34" t="s" s="58">
        <v>1</v>
      </c>
      <c r="M34" t="s" s="58">
        <v>1</v>
      </c>
      <c r="N34" t="s" s="58">
        <v>1</v>
      </c>
      <c r="O34" t="s" s="58">
        <v>1</v>
      </c>
      <c r="P34" t="s" s="58">
        <v>1</v>
      </c>
      <c r="Q34" t="s" s="59">
        <v>1</v>
      </c>
      <c r="R34" t="s" s="58">
        <v>1</v>
      </c>
      <c r="S34" t="s" s="58">
        <v>1</v>
      </c>
      <c r="T34" t="s" s="59">
        <v>1</v>
      </c>
      <c r="U34" t="s" s="58">
        <v>1</v>
      </c>
      <c r="V34" t="s" s="59">
        <v>1</v>
      </c>
      <c r="W34" t="s" s="59">
        <v>1</v>
      </c>
      <c r="X34" t="s" s="59">
        <v>1</v>
      </c>
      <c r="Y34" t="s" s="58">
        <v>1</v>
      </c>
      <c r="Z34" t="s" s="59">
        <v>1</v>
      </c>
    </row>
    <row r="35">
      <c r="A35" s="35"/>
      <c r="B35" t="s" s="57">
        <v>227</v>
      </c>
      <c r="C35" t="s" s="54">
        <v>121</v>
      </c>
      <c r="D35" s="48"/>
      <c r="E35" s="48"/>
      <c r="F35" s="49"/>
      <c r="G35" t="s" s="58">
        <v>177</v>
      </c>
      <c r="H35" t="s" s="58">
        <v>1</v>
      </c>
      <c r="I35" t="s" s="58">
        <v>184</v>
      </c>
      <c r="J35" t="s" s="58">
        <v>1</v>
      </c>
      <c r="K35" t="s" s="58">
        <v>1</v>
      </c>
      <c r="L35" t="s" s="58">
        <v>1</v>
      </c>
      <c r="M35" t="s" s="58">
        <v>1</v>
      </c>
      <c r="N35" t="s" s="58">
        <v>1</v>
      </c>
      <c r="O35" t="s" s="58">
        <v>1</v>
      </c>
      <c r="P35" t="s" s="58">
        <v>1</v>
      </c>
      <c r="Q35" t="s" s="59">
        <v>1</v>
      </c>
      <c r="R35" t="s" s="58">
        <v>1</v>
      </c>
      <c r="S35" t="s" s="58">
        <v>1</v>
      </c>
      <c r="T35" t="s" s="59">
        <v>1</v>
      </c>
      <c r="U35" t="s" s="58">
        <v>1</v>
      </c>
      <c r="V35" t="s" s="59">
        <v>1</v>
      </c>
      <c r="W35" t="s" s="59">
        <v>1</v>
      </c>
      <c r="X35" t="s" s="59">
        <v>1</v>
      </c>
      <c r="Y35" t="s" s="58">
        <v>1</v>
      </c>
      <c r="Z35" t="s" s="59">
        <v>1</v>
      </c>
    </row>
    <row r="36">
      <c r="A36" s="35"/>
      <c r="B36" t="s" s="57">
        <v>228</v>
      </c>
      <c r="C36" t="s" s="54">
        <v>123</v>
      </c>
      <c r="D36" s="48"/>
      <c r="E36" s="48"/>
      <c r="F36" s="49"/>
      <c r="G36" t="s" s="58">
        <v>177</v>
      </c>
      <c r="H36" t="s" s="58">
        <v>1</v>
      </c>
      <c r="I36" t="s" s="58">
        <v>184</v>
      </c>
      <c r="J36" t="s" s="58">
        <v>1</v>
      </c>
      <c r="K36" t="s" s="58">
        <v>1</v>
      </c>
      <c r="L36" t="s" s="58">
        <v>1</v>
      </c>
      <c r="M36" t="s" s="58">
        <v>1</v>
      </c>
      <c r="N36" t="s" s="58">
        <v>1</v>
      </c>
      <c r="O36" t="s" s="58">
        <v>1</v>
      </c>
      <c r="P36" t="s" s="58">
        <v>1</v>
      </c>
      <c r="Q36" t="s" s="59">
        <v>1</v>
      </c>
      <c r="R36" t="s" s="58">
        <v>1</v>
      </c>
      <c r="S36" t="s" s="58">
        <v>1</v>
      </c>
      <c r="T36" t="s" s="59">
        <v>1</v>
      </c>
      <c r="U36" t="s" s="58">
        <v>1</v>
      </c>
      <c r="V36" t="s" s="59">
        <v>1</v>
      </c>
      <c r="W36" t="s" s="59">
        <v>1</v>
      </c>
      <c r="X36" t="s" s="59">
        <v>1</v>
      </c>
      <c r="Y36" t="s" s="58">
        <v>1</v>
      </c>
      <c r="Z36" t="s" s="59">
        <v>1</v>
      </c>
    </row>
    <row r="37">
      <c r="B37" t="s" s="16">
        <v>229</v>
      </c>
      <c r="C37" t="s" s="16">
        <v>230</v>
      </c>
    </row>
    <row r="38">
      <c r="A38" s="35"/>
      <c r="B38" t="s" s="57">
        <v>231</v>
      </c>
      <c r="C38" t="s" s="54">
        <v>126</v>
      </c>
      <c r="D38" s="48"/>
      <c r="E38" s="48"/>
      <c r="F38" s="49"/>
      <c r="G38" t="s" s="58">
        <v>177</v>
      </c>
      <c r="H38" t="s" s="58">
        <v>1</v>
      </c>
      <c r="I38" t="s" s="58">
        <v>184</v>
      </c>
      <c r="J38" t="s" s="58">
        <v>1</v>
      </c>
      <c r="K38" t="s" s="58">
        <v>1</v>
      </c>
      <c r="L38" t="s" s="58">
        <v>1</v>
      </c>
      <c r="M38" t="s" s="58">
        <v>1</v>
      </c>
      <c r="N38" t="s" s="58">
        <v>1</v>
      </c>
      <c r="O38" t="s" s="58">
        <v>1</v>
      </c>
      <c r="P38" t="s" s="58">
        <v>1</v>
      </c>
      <c r="Q38" t="s" s="59">
        <v>1</v>
      </c>
      <c r="R38" t="s" s="58">
        <v>1</v>
      </c>
      <c r="S38" t="s" s="58">
        <v>1</v>
      </c>
      <c r="T38" t="s" s="59">
        <v>1</v>
      </c>
      <c r="U38" t="s" s="58">
        <v>1</v>
      </c>
      <c r="V38" t="s" s="59">
        <v>1</v>
      </c>
      <c r="W38" t="s" s="59">
        <v>1</v>
      </c>
      <c r="X38" t="s" s="59">
        <v>1</v>
      </c>
      <c r="Y38" t="s" s="58">
        <v>1</v>
      </c>
      <c r="Z38" t="s" s="59">
        <v>1</v>
      </c>
    </row>
  </sheetData>
  <mergeCells count="27">
    <mergeCell ref="B2:C2"/>
    <mergeCell ref="D2:E2"/>
    <mergeCell ref="G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W15:W29"/>
    <mergeCell ref="B15:B29"/>
    <mergeCell ref="C15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2024-07-29T01:42:19Z</dcterms:created>
  <dc:creator>Apache POI</dc:creator>
</cp:coreProperties>
</file>