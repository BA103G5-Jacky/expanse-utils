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filterPrivacy="1"/>
  <xr:revisionPtr revIDLastSave="0" documentId="8_{24EAE772-73B2-4151-8547-334D9FD99190}" xr6:coauthVersionLast="47" xr6:coauthVersionMax="47" xr10:uidLastSave="{00000000-0000-0000-0000-000000000000}"/>
  <workbookProtection workbookAlgorithmName="SHA-512" workbookHashValue="L6bCAHjZnesnTG3qgfUDAc1x5OGXkV4S9t8YePzqMjTXL6JAFi3MIGih9WIzzShKjn84SdEEBYo1jPyZbdu7ow==" workbookSaltValue="bKIaocm+vvPszXmNowNJew==" workbookSpinCount="100000" lockStructure="1"/>
  <bookViews>
    <workbookView xWindow="-28920" yWindow="1890" windowWidth="29040" windowHeight="15720" xr2:uid="{00000000-000D-0000-FFFF-FFFF00000000}"/>
  </bookViews>
  <sheets>
    <sheet name="CO2e_calculator_permit" sheetId="3" r:id="rId1"/>
    <sheet name="HFCs list" sheetId="2" r:id="rId2"/>
  </sheets>
  <definedNames>
    <definedName name="_xlnm._FilterDatabase" localSheetId="1" hidden="1">'HFCs list'!$A$1:$B$32</definedName>
    <definedName name="_xlnm.Print_Titles" localSheetId="1">'HFCs list'!$1:$1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 l="1"/>
  <c r="D18" i="3"/>
  <c r="D19" i="3"/>
  <c r="D20" i="3"/>
  <c r="D21" i="3"/>
  <c r="D22" i="3"/>
  <c r="D23" i="3"/>
  <c r="D24" i="3"/>
  <c r="D25" i="3"/>
  <c r="D26" i="3"/>
  <c r="D27" i="3"/>
  <c r="D28" i="3"/>
  <c r="D29" i="3"/>
  <c r="D30" i="3"/>
  <c r="D31" i="3"/>
  <c r="D32" i="3"/>
  <c r="D33" i="3"/>
  <c r="D16" i="3"/>
  <c r="C34" i="3" l="1"/>
  <c r="E16" i="3" l="1"/>
  <c r="E25" i="3"/>
  <c r="C6" i="3" l="1"/>
  <c r="E17" i="3" l="1"/>
  <c r="E18" i="3"/>
  <c r="E19" i="3"/>
  <c r="E20" i="3"/>
  <c r="E21" i="3"/>
  <c r="E22" i="3"/>
  <c r="E23" i="3"/>
  <c r="E24" i="3"/>
  <c r="E26" i="3"/>
  <c r="E27" i="3"/>
  <c r="E28" i="3"/>
  <c r="E29" i="3"/>
  <c r="E30" i="3"/>
  <c r="E31" i="3"/>
  <c r="E32" i="3"/>
  <c r="E33" i="3"/>
  <c r="E34" i="3" l="1"/>
</calcChain>
</file>

<file path=xl/sharedStrings.xml><?xml version="1.0" encoding="utf-8"?>
<sst xmlns="http://schemas.openxmlformats.org/spreadsheetml/2006/main" count="110" uniqueCount="108">
  <si>
    <r>
      <rPr>
        <b/>
        <i/>
        <sz val="11"/>
        <color rgb="FFC00000"/>
        <rFont val="Calibri"/>
        <family val="2"/>
        <scheme val="minor"/>
      </rPr>
      <t>Note:</t>
    </r>
    <r>
      <rPr>
        <i/>
        <sz val="11"/>
        <color rgb="FFC00000"/>
        <rFont val="Calibri"/>
        <family val="2"/>
        <scheme val="minor"/>
      </rPr>
      <t xml:space="preserve"> This tool is for calculation purposes only to assist the preparation of your applications for grandparented eligibility or HFC permits. It is not indicative of the final amount of HFCs that you may be eligible to import.</t>
    </r>
  </si>
  <si>
    <t xml:space="preserve">To convert from kilograms (kg) into metric tonnes </t>
  </si>
  <si>
    <t>Input your kg amount into column (A). Column (B) will show the same amount in metric tonnes.</t>
  </si>
  <si>
    <t>(A)
Amount in kg</t>
  </si>
  <si>
    <t>(B)
Amount in metric tonnes</t>
  </si>
  <si>
    <r>
      <t>To convert metric tonnes of HFCs into tonnes carbon dioxide equivalent (CO</t>
    </r>
    <r>
      <rPr>
        <b/>
        <i/>
        <u/>
        <vertAlign val="subscript"/>
        <sz val="11"/>
        <color theme="1"/>
        <rFont val="Calibri"/>
        <family val="2"/>
        <scheme val="minor"/>
      </rPr>
      <t>2</t>
    </r>
    <r>
      <rPr>
        <b/>
        <i/>
        <u/>
        <sz val="11"/>
        <color theme="1"/>
        <rFont val="Calibri"/>
        <family val="2"/>
        <scheme val="minor"/>
      </rPr>
      <t>e)</t>
    </r>
  </si>
  <si>
    <t>1. Select your type of HFC from the drop down list in column (C) and the 100-year global warming potential (GWP) will automatically populate in column (E).</t>
  </si>
  <si>
    <r>
      <t>2. Input your amount HFC in metric tonnes into column (D) and the tonnes CO</t>
    </r>
    <r>
      <rPr>
        <i/>
        <vertAlign val="subscript"/>
        <sz val="11"/>
        <color theme="1"/>
        <rFont val="Calibri"/>
        <family val="2"/>
        <scheme val="minor"/>
      </rPr>
      <t>2</t>
    </r>
    <r>
      <rPr>
        <i/>
        <sz val="11"/>
        <color theme="1"/>
        <rFont val="Calibri"/>
        <family val="2"/>
        <scheme val="minor"/>
      </rPr>
      <t>e is automatically calculated in column (F).</t>
    </r>
  </si>
  <si>
    <r>
      <t>3. The total amount of HFC in tonnes CO</t>
    </r>
    <r>
      <rPr>
        <i/>
        <vertAlign val="subscript"/>
        <sz val="11"/>
        <color theme="1"/>
        <rFont val="Calibri"/>
        <family val="2"/>
        <scheme val="minor"/>
      </rPr>
      <t>2</t>
    </r>
    <r>
      <rPr>
        <i/>
        <sz val="11"/>
        <color theme="1"/>
        <rFont val="Calibri"/>
        <family val="2"/>
        <scheme val="minor"/>
      </rPr>
      <t>e is given at the end of the table.</t>
    </r>
  </si>
  <si>
    <t>GWP values sourced from:</t>
  </si>
  <si>
    <t>Ozone Layer Protection Regulations 1996</t>
  </si>
  <si>
    <t>Climate Change (Stationary Energy and Industrial Processes) Regulations 2009</t>
  </si>
  <si>
    <t>(C)
Type of HFC</t>
  </si>
  <si>
    <t>(D)
Amount of HFC 
(metric tonnes)</t>
  </si>
  <si>
    <t>(E)
100-year global warming potential 
(GWP)</t>
  </si>
  <si>
    <r>
      <t>(F)
Amount of HFC 
(tonnes CO</t>
    </r>
    <r>
      <rPr>
        <b/>
        <vertAlign val="subscript"/>
        <sz val="11"/>
        <color theme="1"/>
        <rFont val="Calibri"/>
        <family val="2"/>
        <scheme val="minor"/>
      </rPr>
      <t>2</t>
    </r>
    <r>
      <rPr>
        <b/>
        <sz val="11"/>
        <color theme="1"/>
        <rFont val="Calibri"/>
        <family val="2"/>
        <scheme val="minor"/>
      </rPr>
      <t xml:space="preserve">e) </t>
    </r>
  </si>
  <si>
    <t>Substance 1</t>
  </si>
  <si>
    <t>R404A</t>
  </si>
  <si>
    <t>Substance 2</t>
  </si>
  <si>
    <t>Substance 3</t>
  </si>
  <si>
    <t>Substance 4</t>
  </si>
  <si>
    <t>Substance 5</t>
  </si>
  <si>
    <t>Substance 6</t>
  </si>
  <si>
    <t>Substance 7</t>
  </si>
  <si>
    <t>Substance 8</t>
  </si>
  <si>
    <t>Substance 9</t>
  </si>
  <si>
    <t>Substance 10</t>
  </si>
  <si>
    <t>Substance 11</t>
  </si>
  <si>
    <t>Substance 12</t>
  </si>
  <si>
    <t>Substance 13</t>
  </si>
  <si>
    <t>Substance 14</t>
  </si>
  <si>
    <t>Substance 15</t>
  </si>
  <si>
    <t>Substance 16</t>
  </si>
  <si>
    <t>Substance 17</t>
  </si>
  <si>
    <t>Substance 18</t>
  </si>
  <si>
    <t>TOTAL</t>
  </si>
  <si>
    <t>Substance</t>
  </si>
  <si>
    <t>100-year Global Warming Potential (GWP)</t>
  </si>
  <si>
    <t>Chemical formula or %'s for blends</t>
  </si>
  <si>
    <t>Source key:</t>
  </si>
  <si>
    <t>Climate Change (Stationary Energy and Industrial Processes) Regulations 2009, replaced January 2023</t>
  </si>
  <si>
    <t>HFC-125</t>
  </si>
  <si>
    <r>
      <t>CHF</t>
    </r>
    <r>
      <rPr>
        <vertAlign val="subscript"/>
        <sz val="11"/>
        <color theme="1"/>
        <rFont val="Calibri"/>
        <family val="2"/>
        <scheme val="minor"/>
      </rPr>
      <t>2</t>
    </r>
    <r>
      <rPr>
        <sz val="11"/>
        <color theme="1"/>
        <rFont val="Calibri"/>
        <family val="2"/>
        <scheme val="minor"/>
      </rPr>
      <t>CF</t>
    </r>
    <r>
      <rPr>
        <vertAlign val="subscript"/>
        <sz val="11"/>
        <color theme="1"/>
        <rFont val="Calibri"/>
        <family val="2"/>
        <scheme val="minor"/>
      </rPr>
      <t>3</t>
    </r>
  </si>
  <si>
    <t>HFC-134</t>
  </si>
  <si>
    <r>
      <t>CHF</t>
    </r>
    <r>
      <rPr>
        <vertAlign val="subscript"/>
        <sz val="11"/>
        <color theme="1"/>
        <rFont val="Calibri"/>
        <family val="2"/>
        <scheme val="minor"/>
      </rPr>
      <t>2</t>
    </r>
    <r>
      <rPr>
        <sz val="11"/>
        <color theme="1"/>
        <rFont val="Calibri"/>
        <family val="2"/>
        <scheme val="minor"/>
      </rPr>
      <t>CHF</t>
    </r>
    <r>
      <rPr>
        <vertAlign val="subscript"/>
        <sz val="11"/>
        <color theme="1"/>
        <rFont val="Calibri"/>
        <family val="2"/>
        <scheme val="minor"/>
      </rPr>
      <t>2</t>
    </r>
  </si>
  <si>
    <t>HFC-134a (R134a)</t>
  </si>
  <si>
    <r>
      <t>CH</t>
    </r>
    <r>
      <rPr>
        <vertAlign val="subscript"/>
        <sz val="11"/>
        <color theme="1"/>
        <rFont val="Calibri"/>
        <family val="2"/>
        <scheme val="minor"/>
      </rPr>
      <t>2</t>
    </r>
    <r>
      <rPr>
        <sz val="11"/>
        <color theme="1"/>
        <rFont val="Calibri"/>
        <family val="2"/>
        <scheme val="minor"/>
      </rPr>
      <t>FCF</t>
    </r>
    <r>
      <rPr>
        <vertAlign val="subscript"/>
        <sz val="11"/>
        <color theme="1"/>
        <rFont val="Calibri"/>
        <family val="2"/>
        <scheme val="minor"/>
      </rPr>
      <t>3</t>
    </r>
  </si>
  <si>
    <t>HFC-143</t>
  </si>
  <si>
    <r>
      <t>CH</t>
    </r>
    <r>
      <rPr>
        <vertAlign val="subscript"/>
        <sz val="11"/>
        <color theme="1"/>
        <rFont val="Calibri"/>
        <family val="2"/>
        <scheme val="minor"/>
      </rPr>
      <t>2</t>
    </r>
    <r>
      <rPr>
        <sz val="11"/>
        <color theme="1"/>
        <rFont val="Calibri"/>
        <family val="2"/>
        <scheme val="minor"/>
      </rPr>
      <t>FCHF</t>
    </r>
    <r>
      <rPr>
        <vertAlign val="subscript"/>
        <sz val="11"/>
        <color theme="1"/>
        <rFont val="Calibri"/>
        <family val="2"/>
        <scheme val="minor"/>
      </rPr>
      <t>2</t>
    </r>
  </si>
  <si>
    <t>HFC-143a</t>
  </si>
  <si>
    <r>
      <t>CH</t>
    </r>
    <r>
      <rPr>
        <vertAlign val="subscript"/>
        <sz val="11"/>
        <color theme="1"/>
        <rFont val="Calibri"/>
        <family val="2"/>
        <scheme val="minor"/>
      </rPr>
      <t>3</t>
    </r>
    <r>
      <rPr>
        <sz val="11"/>
        <color theme="1"/>
        <rFont val="Calibri"/>
        <family val="2"/>
        <scheme val="minor"/>
      </rPr>
      <t>CF</t>
    </r>
    <r>
      <rPr>
        <vertAlign val="subscript"/>
        <sz val="11"/>
        <color theme="1"/>
        <rFont val="Calibri"/>
        <family val="2"/>
        <scheme val="minor"/>
      </rPr>
      <t>3</t>
    </r>
  </si>
  <si>
    <t>HFC-152</t>
  </si>
  <si>
    <r>
      <t>CH</t>
    </r>
    <r>
      <rPr>
        <vertAlign val="subscript"/>
        <sz val="11"/>
        <color theme="1"/>
        <rFont val="Calibri"/>
        <family val="2"/>
        <scheme val="minor"/>
      </rPr>
      <t>2</t>
    </r>
    <r>
      <rPr>
        <sz val="11"/>
        <color theme="1"/>
        <rFont val="Calibri"/>
        <family val="2"/>
        <scheme val="minor"/>
      </rPr>
      <t>FCH</t>
    </r>
    <r>
      <rPr>
        <vertAlign val="subscript"/>
        <sz val="11"/>
        <color theme="1"/>
        <rFont val="Calibri"/>
        <family val="2"/>
        <scheme val="minor"/>
      </rPr>
      <t>2</t>
    </r>
    <r>
      <rPr>
        <sz val="11"/>
        <color theme="1"/>
        <rFont val="Calibri"/>
        <family val="2"/>
        <scheme val="minor"/>
      </rPr>
      <t>F</t>
    </r>
  </si>
  <si>
    <t>HFC-152a</t>
  </si>
  <si>
    <r>
      <t>CH</t>
    </r>
    <r>
      <rPr>
        <vertAlign val="subscript"/>
        <sz val="11"/>
        <color theme="1"/>
        <rFont val="Calibri"/>
        <family val="2"/>
        <scheme val="minor"/>
      </rPr>
      <t>3</t>
    </r>
    <r>
      <rPr>
        <sz val="11"/>
        <color theme="1"/>
        <rFont val="Calibri"/>
        <family val="2"/>
        <scheme val="minor"/>
      </rPr>
      <t>CHF</t>
    </r>
    <r>
      <rPr>
        <vertAlign val="subscript"/>
        <sz val="11"/>
        <color theme="1"/>
        <rFont val="Calibri"/>
        <family val="2"/>
        <scheme val="minor"/>
      </rPr>
      <t>2</t>
    </r>
  </si>
  <si>
    <t>HFC-227ea</t>
  </si>
  <si>
    <r>
      <t>CF</t>
    </r>
    <r>
      <rPr>
        <vertAlign val="subscript"/>
        <sz val="11"/>
        <color theme="1"/>
        <rFont val="Calibri"/>
        <family val="2"/>
        <scheme val="minor"/>
      </rPr>
      <t>3</t>
    </r>
    <r>
      <rPr>
        <sz val="11"/>
        <color theme="1"/>
        <rFont val="Calibri"/>
        <family val="2"/>
        <scheme val="minor"/>
      </rPr>
      <t>CHFCF</t>
    </r>
    <r>
      <rPr>
        <vertAlign val="subscript"/>
        <sz val="11"/>
        <color theme="1"/>
        <rFont val="Calibri"/>
        <family val="2"/>
        <scheme val="minor"/>
      </rPr>
      <t>3</t>
    </r>
  </si>
  <si>
    <t>HFC-23 (R23)</t>
  </si>
  <si>
    <r>
      <t>CHF</t>
    </r>
    <r>
      <rPr>
        <vertAlign val="subscript"/>
        <sz val="11"/>
        <color theme="1"/>
        <rFont val="Calibri"/>
        <family val="2"/>
        <scheme val="minor"/>
      </rPr>
      <t>3</t>
    </r>
  </si>
  <si>
    <t>HFC-236cb</t>
  </si>
  <si>
    <r>
      <t>CH</t>
    </r>
    <r>
      <rPr>
        <vertAlign val="subscript"/>
        <sz val="11"/>
        <color theme="1"/>
        <rFont val="Calibri"/>
        <family val="2"/>
        <scheme val="minor"/>
      </rPr>
      <t>2</t>
    </r>
    <r>
      <rPr>
        <sz val="11"/>
        <color theme="1"/>
        <rFont val="Calibri"/>
        <family val="2"/>
        <scheme val="minor"/>
      </rPr>
      <t>FCF</t>
    </r>
    <r>
      <rPr>
        <vertAlign val="subscript"/>
        <sz val="11"/>
        <color theme="1"/>
        <rFont val="Calibri"/>
        <family val="2"/>
        <scheme val="minor"/>
      </rPr>
      <t>2</t>
    </r>
    <r>
      <rPr>
        <sz val="11"/>
        <color theme="1"/>
        <rFont val="Calibri"/>
        <family val="2"/>
        <scheme val="minor"/>
      </rPr>
      <t>CF</t>
    </r>
    <r>
      <rPr>
        <vertAlign val="subscript"/>
        <sz val="11"/>
        <color theme="1"/>
        <rFont val="Calibri"/>
        <family val="2"/>
        <scheme val="minor"/>
      </rPr>
      <t>3</t>
    </r>
  </si>
  <si>
    <t>HFC-236ea</t>
  </si>
  <si>
    <r>
      <t>CHF</t>
    </r>
    <r>
      <rPr>
        <vertAlign val="subscript"/>
        <sz val="11"/>
        <color theme="1"/>
        <rFont val="Calibri"/>
        <family val="2"/>
        <scheme val="minor"/>
      </rPr>
      <t>2</t>
    </r>
    <r>
      <rPr>
        <sz val="11"/>
        <color theme="1"/>
        <rFont val="Calibri"/>
        <family val="2"/>
        <scheme val="minor"/>
      </rPr>
      <t>CHFCF</t>
    </r>
    <r>
      <rPr>
        <vertAlign val="subscript"/>
        <sz val="11"/>
        <color theme="1"/>
        <rFont val="Calibri"/>
        <family val="2"/>
        <scheme val="minor"/>
      </rPr>
      <t>3</t>
    </r>
  </si>
  <si>
    <t>HFC-236fa</t>
  </si>
  <si>
    <r>
      <t>CF</t>
    </r>
    <r>
      <rPr>
        <vertAlign val="subscript"/>
        <sz val="11"/>
        <color theme="1"/>
        <rFont val="Calibri"/>
        <family val="2"/>
        <scheme val="minor"/>
      </rPr>
      <t>3</t>
    </r>
    <r>
      <rPr>
        <sz val="11"/>
        <color theme="1"/>
        <rFont val="Calibri"/>
        <family val="2"/>
        <scheme val="minor"/>
      </rPr>
      <t>CH</t>
    </r>
    <r>
      <rPr>
        <vertAlign val="subscript"/>
        <sz val="11"/>
        <color theme="1"/>
        <rFont val="Calibri"/>
        <family val="2"/>
        <scheme val="minor"/>
      </rPr>
      <t>2</t>
    </r>
    <r>
      <rPr>
        <sz val="11"/>
        <color theme="1"/>
        <rFont val="Calibri"/>
        <family val="2"/>
        <scheme val="minor"/>
      </rPr>
      <t>CF</t>
    </r>
    <r>
      <rPr>
        <vertAlign val="subscript"/>
        <sz val="11"/>
        <color theme="1"/>
        <rFont val="Calibri"/>
        <family val="2"/>
        <scheme val="minor"/>
      </rPr>
      <t>3</t>
    </r>
  </si>
  <si>
    <t>HFC-245ca</t>
  </si>
  <si>
    <r>
      <t>CH</t>
    </r>
    <r>
      <rPr>
        <vertAlign val="subscript"/>
        <sz val="11"/>
        <color theme="1"/>
        <rFont val="Calibri"/>
        <family val="2"/>
        <scheme val="minor"/>
      </rPr>
      <t>2</t>
    </r>
    <r>
      <rPr>
        <sz val="11"/>
        <color theme="1"/>
        <rFont val="Calibri"/>
        <family val="2"/>
        <scheme val="minor"/>
      </rPr>
      <t>FCF</t>
    </r>
    <r>
      <rPr>
        <vertAlign val="subscript"/>
        <sz val="11"/>
        <color theme="1"/>
        <rFont val="Calibri"/>
        <family val="2"/>
        <scheme val="minor"/>
      </rPr>
      <t>2</t>
    </r>
    <r>
      <rPr>
        <sz val="11"/>
        <color theme="1"/>
        <rFont val="Calibri"/>
        <family val="2"/>
        <scheme val="minor"/>
      </rPr>
      <t>CHF</t>
    </r>
    <r>
      <rPr>
        <vertAlign val="subscript"/>
        <sz val="11"/>
        <color theme="1"/>
        <rFont val="Calibri"/>
        <family val="2"/>
        <scheme val="minor"/>
      </rPr>
      <t>2</t>
    </r>
  </si>
  <si>
    <t>HFC-245fa</t>
  </si>
  <si>
    <r>
      <t>CHF</t>
    </r>
    <r>
      <rPr>
        <vertAlign val="subscript"/>
        <sz val="11"/>
        <color theme="1"/>
        <rFont val="Calibri"/>
        <family val="2"/>
        <scheme val="minor"/>
      </rPr>
      <t>2</t>
    </r>
    <r>
      <rPr>
        <sz val="11"/>
        <color theme="1"/>
        <rFont val="Calibri"/>
        <family val="2"/>
        <scheme val="minor"/>
      </rPr>
      <t>CH</t>
    </r>
    <r>
      <rPr>
        <vertAlign val="subscript"/>
        <sz val="11"/>
        <color theme="1"/>
        <rFont val="Calibri"/>
        <family val="2"/>
        <scheme val="minor"/>
      </rPr>
      <t>2</t>
    </r>
    <r>
      <rPr>
        <sz val="11"/>
        <color theme="1"/>
        <rFont val="Calibri"/>
        <family val="2"/>
        <scheme val="minor"/>
      </rPr>
      <t>CF</t>
    </r>
    <r>
      <rPr>
        <vertAlign val="subscript"/>
        <sz val="11"/>
        <color theme="1"/>
        <rFont val="Calibri"/>
        <family val="2"/>
        <scheme val="minor"/>
      </rPr>
      <t>3</t>
    </r>
  </si>
  <si>
    <t>HFC-32</t>
  </si>
  <si>
    <r>
      <t>CH</t>
    </r>
    <r>
      <rPr>
        <vertAlign val="subscript"/>
        <sz val="11"/>
        <color theme="1"/>
        <rFont val="Calibri"/>
        <family val="2"/>
        <scheme val="minor"/>
      </rPr>
      <t>2</t>
    </r>
    <r>
      <rPr>
        <sz val="11"/>
        <color theme="1"/>
        <rFont val="Calibri"/>
        <family val="2"/>
        <scheme val="minor"/>
      </rPr>
      <t>F</t>
    </r>
    <r>
      <rPr>
        <vertAlign val="subscript"/>
        <sz val="11"/>
        <color theme="1"/>
        <rFont val="Calibri"/>
        <family val="2"/>
        <scheme val="minor"/>
      </rPr>
      <t>2</t>
    </r>
  </si>
  <si>
    <t>HFC-365mfc</t>
  </si>
  <si>
    <r>
      <t>CF</t>
    </r>
    <r>
      <rPr>
        <vertAlign val="subscript"/>
        <sz val="11"/>
        <color theme="1"/>
        <rFont val="Calibri"/>
        <family val="2"/>
        <scheme val="minor"/>
      </rPr>
      <t>3</t>
    </r>
    <r>
      <rPr>
        <sz val="11"/>
        <color theme="1"/>
        <rFont val="Calibri"/>
        <family val="2"/>
        <scheme val="minor"/>
      </rPr>
      <t>CH</t>
    </r>
    <r>
      <rPr>
        <vertAlign val="subscript"/>
        <sz val="11"/>
        <color theme="1"/>
        <rFont val="Calibri"/>
        <family val="2"/>
        <scheme val="minor"/>
      </rPr>
      <t>2</t>
    </r>
    <r>
      <rPr>
        <sz val="11"/>
        <color theme="1"/>
        <rFont val="Calibri"/>
        <family val="2"/>
        <scheme val="minor"/>
      </rPr>
      <t>CF</t>
    </r>
    <r>
      <rPr>
        <vertAlign val="subscript"/>
        <sz val="11"/>
        <color theme="1"/>
        <rFont val="Calibri"/>
        <family val="2"/>
        <scheme val="minor"/>
      </rPr>
      <t>2</t>
    </r>
    <r>
      <rPr>
        <sz val="11"/>
        <color theme="1"/>
        <rFont val="Calibri"/>
        <family val="2"/>
        <scheme val="minor"/>
      </rPr>
      <t>CH</t>
    </r>
    <r>
      <rPr>
        <vertAlign val="subscript"/>
        <sz val="11"/>
        <color theme="1"/>
        <rFont val="Calibri"/>
        <family val="2"/>
        <scheme val="minor"/>
      </rPr>
      <t>3</t>
    </r>
  </si>
  <si>
    <t>HFC-41</t>
  </si>
  <si>
    <r>
      <t>CH</t>
    </r>
    <r>
      <rPr>
        <vertAlign val="subscript"/>
        <sz val="11"/>
        <color theme="1"/>
        <rFont val="Calibri"/>
        <family val="2"/>
        <scheme val="minor"/>
      </rPr>
      <t>3</t>
    </r>
    <r>
      <rPr>
        <sz val="11"/>
        <color theme="1"/>
        <rFont val="Calibri"/>
        <family val="2"/>
        <scheme val="minor"/>
      </rPr>
      <t>F</t>
    </r>
  </si>
  <si>
    <t>HFC-43-10mee</t>
  </si>
  <si>
    <r>
      <t>CF</t>
    </r>
    <r>
      <rPr>
        <vertAlign val="subscript"/>
        <sz val="11"/>
        <color theme="1"/>
        <rFont val="Calibri"/>
        <family val="2"/>
        <scheme val="minor"/>
      </rPr>
      <t>3</t>
    </r>
    <r>
      <rPr>
        <sz val="11"/>
        <color theme="1"/>
        <rFont val="Calibri"/>
        <family val="2"/>
        <scheme val="minor"/>
      </rPr>
      <t>CHFCHFCF</t>
    </r>
    <r>
      <rPr>
        <vertAlign val="subscript"/>
        <sz val="11"/>
        <color theme="1"/>
        <rFont val="Calibri"/>
        <family val="2"/>
        <scheme val="minor"/>
      </rPr>
      <t>2</t>
    </r>
    <r>
      <rPr>
        <sz val="11"/>
        <color theme="1"/>
        <rFont val="Calibri"/>
        <family val="2"/>
        <scheme val="minor"/>
      </rPr>
      <t>CF</t>
    </r>
    <r>
      <rPr>
        <vertAlign val="subscript"/>
        <sz val="11"/>
        <color theme="1"/>
        <rFont val="Calibri"/>
        <family val="2"/>
        <scheme val="minor"/>
      </rPr>
      <t>3</t>
    </r>
  </si>
  <si>
    <t>R365mfc/R227ea mix</t>
  </si>
  <si>
    <t>R365mfc = 93%
R227ea = 7%</t>
  </si>
  <si>
    <t>R125 = 44%
R143a = 52%
R134a = 4%</t>
  </si>
  <si>
    <t>R407C</t>
  </si>
  <si>
    <t>R32 = 23%
R125 = 25%
R134a = 52%</t>
  </si>
  <si>
    <t>R407F</t>
  </si>
  <si>
    <t>R134a = 40%
R32 = 30%
R125 = 30%</t>
  </si>
  <si>
    <t>R408A</t>
  </si>
  <si>
    <r>
      <rPr>
        <b/>
        <sz val="11"/>
        <color theme="1"/>
        <rFont val="Calibri"/>
        <family val="2"/>
        <scheme val="minor"/>
      </rPr>
      <t>R125 = 7%</t>
    </r>
    <r>
      <rPr>
        <sz val="11"/>
        <color theme="1"/>
        <rFont val="Calibri"/>
        <family val="2"/>
        <scheme val="minor"/>
      </rPr>
      <t xml:space="preserve">
</t>
    </r>
    <r>
      <rPr>
        <b/>
        <sz val="11"/>
        <color theme="1"/>
        <rFont val="Calibri"/>
        <family val="2"/>
        <scheme val="minor"/>
      </rPr>
      <t>R143a = 46%</t>
    </r>
    <r>
      <rPr>
        <sz val="11"/>
        <color theme="1"/>
        <rFont val="Calibri"/>
        <family val="2"/>
        <scheme val="minor"/>
      </rPr>
      <t xml:space="preserve">
R22 = 47%</t>
    </r>
  </si>
  <si>
    <t>R410A</t>
  </si>
  <si>
    <t>R32 = 50%
R125 = 50%</t>
  </si>
  <si>
    <t>R413A</t>
  </si>
  <si>
    <r>
      <t xml:space="preserve">R218 = 9%
</t>
    </r>
    <r>
      <rPr>
        <b/>
        <sz val="11"/>
        <color theme="1"/>
        <rFont val="Calibri"/>
        <family val="2"/>
        <scheme val="minor"/>
      </rPr>
      <t>R134a = 88%</t>
    </r>
    <r>
      <rPr>
        <sz val="11"/>
        <color theme="1"/>
        <rFont val="Calibri"/>
        <family val="2"/>
        <scheme val="minor"/>
      </rPr>
      <t xml:space="preserve">
R600a = 3%</t>
    </r>
  </si>
  <si>
    <t>R416A</t>
  </si>
  <si>
    <r>
      <rPr>
        <b/>
        <sz val="11"/>
        <color theme="1"/>
        <rFont val="Calibri"/>
        <family val="2"/>
        <scheme val="minor"/>
      </rPr>
      <t>R134a = 59%</t>
    </r>
    <r>
      <rPr>
        <sz val="11"/>
        <color theme="1"/>
        <rFont val="Calibri"/>
        <family val="2"/>
        <scheme val="minor"/>
      </rPr>
      <t xml:space="preserve">
R124 = 39.5%
R600 = 1.5%</t>
    </r>
  </si>
  <si>
    <t>R417A</t>
  </si>
  <si>
    <r>
      <rPr>
        <b/>
        <sz val="11"/>
        <color theme="1"/>
        <rFont val="Calibri"/>
        <family val="2"/>
        <scheme val="minor"/>
      </rPr>
      <t>R125 = 46.6%
R134a = 50%</t>
    </r>
    <r>
      <rPr>
        <sz val="11"/>
        <color theme="1"/>
        <rFont val="Calibri"/>
        <family val="2"/>
        <scheme val="minor"/>
      </rPr>
      <t xml:space="preserve">
R600 = 3.4%</t>
    </r>
  </si>
  <si>
    <t>R422A</t>
  </si>
  <si>
    <r>
      <rPr>
        <b/>
        <sz val="11"/>
        <color theme="1"/>
        <rFont val="Calibri"/>
        <family val="2"/>
        <scheme val="minor"/>
      </rPr>
      <t>R125 = 85.1%
R134a = 11.5%</t>
    </r>
    <r>
      <rPr>
        <sz val="11"/>
        <color theme="1"/>
        <rFont val="Calibri"/>
        <family val="2"/>
        <scheme val="minor"/>
      </rPr>
      <t xml:space="preserve">
R600a = 3.4%</t>
    </r>
  </si>
  <si>
    <t>R427A</t>
  </si>
  <si>
    <t>R134a = 50%
R125 = 25%
R32 = 15%
R143a = 10%</t>
  </si>
  <si>
    <t>R438A</t>
  </si>
  <si>
    <r>
      <t xml:space="preserve">HC600 = 1.7%
HC601a = 0.6%
</t>
    </r>
    <r>
      <rPr>
        <b/>
        <sz val="11"/>
        <color theme="1"/>
        <rFont val="Calibri"/>
        <family val="2"/>
        <scheme val="minor"/>
      </rPr>
      <t>HFC125 = 44.2%</t>
    </r>
    <r>
      <rPr>
        <sz val="11"/>
        <color theme="1"/>
        <rFont val="Calibri"/>
        <family val="2"/>
        <scheme val="minor"/>
      </rPr>
      <t xml:space="preserve">
</t>
    </r>
    <r>
      <rPr>
        <b/>
        <sz val="11"/>
        <color theme="1"/>
        <rFont val="Calibri"/>
        <family val="2"/>
        <scheme val="minor"/>
      </rPr>
      <t>HFC32 = 8.5%</t>
    </r>
  </si>
  <si>
    <t>R448A</t>
  </si>
  <si>
    <r>
      <t xml:space="preserve">R32 = 26%
R125 = 26%
R134a = 21%
</t>
    </r>
    <r>
      <rPr>
        <sz val="11"/>
        <color theme="1"/>
        <rFont val="Calibri"/>
        <family val="2"/>
        <scheme val="minor"/>
      </rPr>
      <t>Other = 27%</t>
    </r>
  </si>
  <si>
    <t>R449A</t>
  </si>
  <si>
    <r>
      <rPr>
        <b/>
        <sz val="11"/>
        <color theme="1"/>
        <rFont val="Calibri"/>
        <family val="2"/>
        <scheme val="minor"/>
      </rPr>
      <t>R32 = 24%
R125 = 25%
R134a = 26%</t>
    </r>
    <r>
      <rPr>
        <sz val="11"/>
        <color theme="1"/>
        <rFont val="Calibri"/>
        <family val="2"/>
        <scheme val="minor"/>
      </rPr>
      <t xml:space="preserve">
Other = 25%</t>
    </r>
  </si>
  <si>
    <t>R452A</t>
  </si>
  <si>
    <r>
      <rPr>
        <b/>
        <sz val="11"/>
        <color theme="1"/>
        <rFont val="Calibri"/>
        <family val="2"/>
        <scheme val="minor"/>
      </rPr>
      <t>HFC125 = 59%</t>
    </r>
    <r>
      <rPr>
        <sz val="11"/>
        <color theme="1"/>
        <rFont val="Calibri"/>
        <family val="2"/>
        <scheme val="minor"/>
      </rPr>
      <t xml:space="preserve">
</t>
    </r>
    <r>
      <rPr>
        <b/>
        <sz val="11"/>
        <color theme="1"/>
        <rFont val="Calibri"/>
        <family val="2"/>
        <scheme val="minor"/>
      </rPr>
      <t>HFC32 = 11%</t>
    </r>
    <r>
      <rPr>
        <sz val="11"/>
        <color theme="1"/>
        <rFont val="Calibri"/>
        <family val="2"/>
        <scheme val="minor"/>
      </rPr>
      <t xml:space="preserve">
HFO1234yf = 30%</t>
    </r>
  </si>
  <si>
    <t>R507A</t>
  </si>
  <si>
    <t>R125 = 50%
R143a =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</si>
</sst>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0"/>
    <numFmt numFmtId="166" formatCode="_-* #,##0.0000_-;\-* #,##0.0000_-;_-* &quot;-&quot;??_-;_-@_-"/>
  </numFmts>
  <fonts count="13" x14ac:knownFonts="1">
    <font>
      <sz val="11"/>
      <color theme="1"/>
      <name val="Calibri"/>
      <family val="2"/>
      <scheme val="minor"/>
    </font>
    <font>
      <sz val="11"/>
      <color theme="1"/>
      <name val="Calibri"/>
      <family val="2"/>
      <scheme val="minor"/>
    </font>
    <font>
      <b/>
      <sz val="11"/>
      <color theme="1"/>
      <name val="Calibri"/>
      <family val="2"/>
      <scheme val="minor"/>
    </font>
    <font>
      <vertAlign val="subscript"/>
      <sz val="11"/>
      <color theme="1"/>
      <name val="Calibri"/>
      <family val="2"/>
      <scheme val="minor"/>
    </font>
    <font>
      <b/>
      <vertAlign val="subscript"/>
      <sz val="11"/>
      <color theme="1"/>
      <name val="Calibri"/>
      <family val="2"/>
      <scheme val="minor"/>
    </font>
    <font>
      <i/>
      <sz val="11"/>
      <color theme="1"/>
      <name val="Calibri"/>
      <family val="2"/>
      <scheme val="minor"/>
    </font>
    <font>
      <i/>
      <vertAlign val="subscript"/>
      <sz val="11"/>
      <color theme="1"/>
      <name val="Calibri"/>
      <family val="2"/>
      <scheme val="minor"/>
    </font>
    <font>
      <b/>
      <i/>
      <u/>
      <sz val="11"/>
      <color theme="1"/>
      <name val="Calibri"/>
      <family val="2"/>
      <scheme val="minor"/>
    </font>
    <font>
      <b/>
      <i/>
      <u/>
      <vertAlign val="subscript"/>
      <sz val="11"/>
      <color theme="1"/>
      <name val="Calibri"/>
      <family val="2"/>
      <scheme val="minor"/>
    </font>
    <font>
      <b/>
      <sz val="16"/>
      <color theme="1"/>
      <name val="Calibri"/>
      <family val="2"/>
      <scheme val="minor"/>
    </font>
    <font>
      <i/>
      <sz val="11"/>
      <color rgb="FFC00000"/>
      <name val="Calibri"/>
      <family val="2"/>
      <scheme val="minor"/>
    </font>
    <font>
      <b/>
      <i/>
      <sz val="11"/>
      <color rgb="FFC00000"/>
      <name val="Calibri"/>
      <family val="2"/>
      <scheme val="minor"/>
    </font>
    <font>
      <sz val="10"/>
      <color rgb="FF000000"/>
      <name val="Times New Roman"/>
      <family val="1"/>
    </font>
  </fonts>
  <fills count="6">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47">
    <xf numFmtId="0" fontId="0" fillId="0" borderId="0" xfId="0"/>
    <xf numFmtId="0" fontId="5" fillId="2" borderId="0" xfId="0" applyFont="1" applyFill="1"/>
    <xf numFmtId="0" fontId="0" fillId="2" borderId="0" xfId="0" applyFill="1"/>
    <xf numFmtId="0" fontId="2" fillId="2" borderId="9" xfId="0" applyFont="1" applyFill="1" applyBorder="1"/>
    <xf numFmtId="0" fontId="2" fillId="2" borderId="10" xfId="0" applyFont="1" applyFill="1" applyBorder="1"/>
    <xf numFmtId="0" fontId="2" fillId="2" borderId="11" xfId="0" applyFont="1" applyFill="1" applyBorder="1"/>
    <xf numFmtId="0" fontId="2" fillId="2" borderId="5" xfId="0" applyFont="1" applyFill="1" applyBorder="1" applyAlignment="1">
      <alignment horizontal="right"/>
    </xf>
    <xf numFmtId="0" fontId="2" fillId="2" borderId="12" xfId="0" applyFont="1" applyFill="1" applyBorder="1"/>
    <xf numFmtId="164" fontId="0" fillId="2" borderId="13" xfId="1" applyNumberFormat="1" applyFont="1" applyFill="1" applyBorder="1"/>
    <xf numFmtId="0" fontId="0" fillId="0" borderId="1" xfId="0" applyBorder="1" applyAlignment="1" applyProtection="1">
      <alignment horizontal="left"/>
      <protection locked="0"/>
    </xf>
    <xf numFmtId="0" fontId="0" fillId="0" borderId="7" xfId="0" applyBorder="1" applyProtection="1">
      <protection locked="0"/>
    </xf>
    <xf numFmtId="0" fontId="2" fillId="2" borderId="1" xfId="0" applyFont="1" applyFill="1" applyBorder="1" applyAlignment="1">
      <alignment horizontal="center" wrapText="1"/>
    </xf>
    <xf numFmtId="0" fontId="7" fillId="2" borderId="0" xfId="0" applyFont="1" applyFill="1"/>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12" xfId="0" applyFont="1" applyFill="1" applyBorder="1" applyAlignment="1">
      <alignment horizontal="center" vertical="top" wrapText="1"/>
    </xf>
    <xf numFmtId="0" fontId="2" fillId="2" borderId="2" xfId="0" applyFont="1" applyFill="1" applyBorder="1" applyAlignment="1">
      <alignment horizontal="center" vertical="top" wrapText="1"/>
    </xf>
    <xf numFmtId="0" fontId="7" fillId="2" borderId="0" xfId="0" applyFont="1" applyFill="1" applyAlignment="1">
      <alignment horizontal="right"/>
    </xf>
    <xf numFmtId="0" fontId="5" fillId="2" borderId="0" xfId="0" applyFont="1" applyFill="1" applyAlignment="1">
      <alignment horizontal="left"/>
    </xf>
    <xf numFmtId="165" fontId="0" fillId="2" borderId="1" xfId="0" applyNumberFormat="1" applyFill="1" applyBorder="1" applyAlignment="1">
      <alignment horizontal="left"/>
    </xf>
    <xf numFmtId="166" fontId="0" fillId="2" borderId="14" xfId="1" applyNumberFormat="1" applyFont="1" applyFill="1" applyBorder="1"/>
    <xf numFmtId="166" fontId="0" fillId="2" borderId="10" xfId="1" applyNumberFormat="1" applyFont="1" applyFill="1" applyBorder="1"/>
    <xf numFmtId="166" fontId="0" fillId="2" borderId="11" xfId="1" applyNumberFormat="1" applyFont="1" applyFill="1" applyBorder="1"/>
    <xf numFmtId="166" fontId="2" fillId="4" borderId="2" xfId="0" applyNumberFormat="1" applyFont="1" applyFill="1" applyBorder="1"/>
    <xf numFmtId="0" fontId="2" fillId="0" borderId="1" xfId="0" applyFont="1" applyBorder="1" applyAlignment="1">
      <alignment vertical="top" wrapText="1"/>
    </xf>
    <xf numFmtId="0" fontId="2" fillId="0" borderId="0" xfId="0" applyFont="1" applyAlignment="1">
      <alignment vertical="top" wrapText="1"/>
    </xf>
    <xf numFmtId="0" fontId="2" fillId="0" borderId="0" xfId="0" applyFont="1" applyAlignment="1">
      <alignment horizontal="right" vertical="top" wrapText="1"/>
    </xf>
    <xf numFmtId="0" fontId="0" fillId="3" borderId="1" xfId="0" applyFill="1" applyBorder="1" applyAlignment="1">
      <alignment vertical="top" wrapText="1"/>
    </xf>
    <xf numFmtId="0" fontId="0" fillId="2" borderId="1" xfId="0" applyFill="1" applyBorder="1" applyAlignment="1">
      <alignment vertical="top" wrapText="1"/>
    </xf>
    <xf numFmtId="0" fontId="0" fillId="3" borderId="1" xfId="0" applyFill="1" applyBorder="1" applyAlignment="1">
      <alignment vertical="top"/>
    </xf>
    <xf numFmtId="164" fontId="0" fillId="3" borderId="1" xfId="1" applyNumberFormat="1" applyFont="1" applyFill="1" applyBorder="1" applyAlignment="1" applyProtection="1">
      <alignment vertical="top"/>
    </xf>
    <xf numFmtId="0" fontId="0" fillId="0" borderId="0" xfId="0" applyAlignment="1">
      <alignment vertical="top"/>
    </xf>
    <xf numFmtId="0" fontId="0" fillId="2" borderId="1" xfId="0" applyFill="1" applyBorder="1" applyAlignment="1">
      <alignment vertical="top"/>
    </xf>
    <xf numFmtId="164" fontId="0" fillId="2" borderId="1" xfId="1" applyNumberFormat="1" applyFont="1" applyFill="1" applyBorder="1" applyAlignment="1" applyProtection="1">
      <alignment vertical="top"/>
    </xf>
    <xf numFmtId="0" fontId="2" fillId="2" borderId="1" xfId="0" applyFont="1" applyFill="1" applyBorder="1" applyAlignment="1">
      <alignment vertical="top" wrapText="1"/>
    </xf>
    <xf numFmtId="166" fontId="0" fillId="0" borderId="3" xfId="1" applyNumberFormat="1" applyFont="1" applyFill="1" applyBorder="1" applyProtection="1">
      <protection locked="0"/>
    </xf>
    <xf numFmtId="166" fontId="0" fillId="0" borderId="1" xfId="1" applyNumberFormat="1" applyFont="1" applyFill="1" applyBorder="1" applyProtection="1">
      <protection locked="0"/>
    </xf>
    <xf numFmtId="166" fontId="0" fillId="0" borderId="1" xfId="0" applyNumberFormat="1" applyBorder="1" applyProtection="1">
      <protection locked="0"/>
    </xf>
    <xf numFmtId="166" fontId="0" fillId="0" borderId="4" xfId="0" applyNumberFormat="1" applyBorder="1" applyProtection="1">
      <protection locked="0"/>
    </xf>
    <xf numFmtId="166" fontId="2" fillId="2" borderId="6" xfId="0" applyNumberFormat="1" applyFont="1" applyFill="1" applyBorder="1"/>
    <xf numFmtId="0" fontId="9" fillId="5" borderId="8" xfId="0" applyFont="1" applyFill="1" applyBorder="1" applyAlignment="1">
      <alignment horizontal="center" vertical="center"/>
    </xf>
    <xf numFmtId="0" fontId="10" fillId="2" borderId="0" xfId="0" applyFont="1" applyFill="1" applyAlignment="1">
      <alignment vertical="top" wrapText="1"/>
    </xf>
    <xf numFmtId="0" fontId="10" fillId="2" borderId="0" xfId="0" applyFont="1" applyFill="1" applyAlignment="1">
      <alignment vertical="top"/>
    </xf>
    <xf numFmtId="0" fontId="0" fillId="2" borderId="1" xfId="0" applyFill="1" applyBorder="1" applyAlignment="1">
      <alignment horizontal="left" vertical="top" wrapText="1"/>
    </xf>
    <xf numFmtId="3" fontId="0" fillId="0" borderId="0" xfId="0" applyNumberFormat="1" applyAlignment="1">
      <alignment vertical="top"/>
    </xf>
    <xf numFmtId="0" fontId="12" fillId="0" borderId="0" xfId="0" applyFont="1"/>
    <xf numFmtId="0" fontId="5" fillId="2" borderId="0" xfId="0" applyFont="1" applyFill="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A1:K34"/>
  <sheetViews>
    <sheetView tabSelected="1" zoomScale="80" zoomScaleNormal="80" workbookViewId="0">
      <pane ySplit="15" topLeftCell="A16" activePane="bottomLeft" state="frozen"/>
      <selection pane="bottomLeft" activeCell="B16" sqref="B16"/>
    </sheetView>
  </sheetViews>
  <sheetFormatPr defaultColWidth="8.7265625" defaultRowHeight="14.5" x14ac:dyDescent="0.35"/>
  <cols>
    <col min="1" max="1" width="14.81640625" style="2" customWidth="1"/>
    <col min="2" max="2" width="18" style="2" customWidth="1"/>
    <col min="3" max="3" width="26.453125" style="2" bestFit="1" customWidth="1"/>
    <col min="4" max="4" width="22.26953125" style="2" customWidth="1"/>
    <col min="5" max="5" width="21.1796875" style="2" bestFit="1" customWidth="1"/>
    <col min="6" max="6" width="8.7265625" style="2"/>
    <col min="7" max="7" width="14.81640625" style="2" customWidth="1"/>
    <col min="8" max="8" width="18" style="2" customWidth="1"/>
    <col min="9" max="9" width="26.453125" style="2" customWidth="1"/>
    <col min="10" max="16384" width="8.7265625" style="2"/>
  </cols>
  <sheetData>
    <row r="1" spans="1:11" ht="15" customHeight="1" x14ac:dyDescent="0.35">
      <c r="A1" s="42" t="s">
        <v>0</v>
      </c>
      <c r="B1" s="41"/>
      <c r="C1" s="41"/>
      <c r="D1" s="41"/>
      <c r="E1" s="41"/>
      <c r="F1" s="41"/>
      <c r="G1" s="41"/>
      <c r="H1" s="41"/>
      <c r="I1" s="41"/>
      <c r="J1" s="41"/>
      <c r="K1" s="41"/>
    </row>
    <row r="2" spans="1:11" ht="5.25" customHeight="1" x14ac:dyDescent="0.35"/>
    <row r="3" spans="1:11" x14ac:dyDescent="0.35">
      <c r="A3" s="12" t="s">
        <v>1</v>
      </c>
    </row>
    <row r="4" spans="1:11" x14ac:dyDescent="0.35">
      <c r="A4" s="1" t="s">
        <v>2</v>
      </c>
    </row>
    <row r="5" spans="1:11" ht="29" x14ac:dyDescent="0.35">
      <c r="B5" s="11" t="s">
        <v>3</v>
      </c>
      <c r="C5" s="11" t="s">
        <v>4</v>
      </c>
    </row>
    <row r="6" spans="1:11" x14ac:dyDescent="0.35">
      <c r="B6" s="9"/>
      <c r="C6" s="19">
        <f>B6/1000</f>
        <v>0</v>
      </c>
    </row>
    <row r="8" spans="1:11" ht="16.5" x14ac:dyDescent="0.45">
      <c r="A8" s="12" t="s">
        <v>5</v>
      </c>
    </row>
    <row r="9" spans="1:11" x14ac:dyDescent="0.35">
      <c r="A9" s="46" t="s">
        <v>6</v>
      </c>
      <c r="B9" s="46"/>
      <c r="C9" s="46"/>
      <c r="D9" s="46"/>
      <c r="E9" s="46"/>
      <c r="F9" s="46"/>
      <c r="G9" s="46"/>
      <c r="H9" s="46"/>
      <c r="I9" s="46"/>
    </row>
    <row r="10" spans="1:11" x14ac:dyDescent="0.35">
      <c r="A10" s="46" t="s">
        <v>7</v>
      </c>
      <c r="B10" s="46"/>
      <c r="C10" s="46"/>
      <c r="D10" s="46"/>
      <c r="E10" s="46"/>
      <c r="F10" s="46"/>
      <c r="G10" s="46"/>
      <c r="H10" s="46"/>
      <c r="I10" s="46"/>
    </row>
    <row r="11" spans="1:11" ht="16.5" x14ac:dyDescent="0.45">
      <c r="A11" s="18" t="s">
        <v>8</v>
      </c>
      <c r="B11" s="18"/>
      <c r="C11" s="18"/>
      <c r="D11" s="18"/>
      <c r="E11" s="18"/>
      <c r="F11" s="18"/>
      <c r="G11" s="18"/>
      <c r="H11" s="18"/>
      <c r="I11" s="18"/>
    </row>
    <row r="12" spans="1:11" ht="6.75" customHeight="1" x14ac:dyDescent="0.35">
      <c r="A12" s="1"/>
    </row>
    <row r="13" spans="1:11" x14ac:dyDescent="0.35">
      <c r="A13" s="1"/>
      <c r="B13" s="17" t="s">
        <v>9</v>
      </c>
      <c r="C13" s="1" t="s">
        <v>10</v>
      </c>
    </row>
    <row r="14" spans="1:11" ht="15" thickBot="1" x14ac:dyDescent="0.4">
      <c r="A14" s="1"/>
      <c r="C14" s="1" t="s">
        <v>11</v>
      </c>
    </row>
    <row r="15" spans="1:11" ht="58.5" thickBot="1" x14ac:dyDescent="0.4">
      <c r="A15" s="40"/>
      <c r="B15" s="13" t="s">
        <v>12</v>
      </c>
      <c r="C15" s="14" t="s">
        <v>13</v>
      </c>
      <c r="D15" s="15" t="s">
        <v>14</v>
      </c>
      <c r="E15" s="16" t="s">
        <v>15</v>
      </c>
    </row>
    <row r="16" spans="1:11" x14ac:dyDescent="0.35">
      <c r="A16" s="3" t="s">
        <v>16</v>
      </c>
      <c r="B16" s="10" t="s">
        <v>17</v>
      </c>
      <c r="C16" s="35"/>
      <c r="D16" s="8">
        <f>IFERROR(VLOOKUP(B16,'HFCs list'!$A$2:$B$35,2,FALSE)," ")</f>
        <v>3940</v>
      </c>
      <c r="E16" s="20">
        <f>IFERROR(C16*D16, " ")</f>
        <v>0</v>
      </c>
    </row>
    <row r="17" spans="1:5" x14ac:dyDescent="0.35">
      <c r="A17" s="4" t="s">
        <v>18</v>
      </c>
      <c r="B17" s="10"/>
      <c r="C17" s="36"/>
      <c r="D17" s="8" t="str">
        <f>IFERROR(VLOOKUP(B17,'HFCs list'!$A$2:$B$35,2,FALSE)," ")</f>
        <v xml:space="preserve"> </v>
      </c>
      <c r="E17" s="21" t="str">
        <f t="shared" ref="E17:E33" si="0">IFERROR(C17*D17, " ")</f>
        <v xml:space="preserve"> </v>
      </c>
    </row>
    <row r="18" spans="1:5" x14ac:dyDescent="0.35">
      <c r="A18" s="4" t="s">
        <v>19</v>
      </c>
      <c r="B18" s="10"/>
      <c r="C18" s="36"/>
      <c r="D18" s="8" t="str">
        <f>IFERROR(VLOOKUP(B18,'HFCs list'!$A$2:$B$35,2,FALSE)," ")</f>
        <v xml:space="preserve"> </v>
      </c>
      <c r="E18" s="21" t="str">
        <f t="shared" si="0"/>
        <v xml:space="preserve"> </v>
      </c>
    </row>
    <row r="19" spans="1:5" x14ac:dyDescent="0.35">
      <c r="A19" s="4" t="s">
        <v>20</v>
      </c>
      <c r="B19" s="10"/>
      <c r="C19" s="36"/>
      <c r="D19" s="8" t="str">
        <f>IFERROR(VLOOKUP(B19,'HFCs list'!$A$2:$B$35,2,FALSE)," ")</f>
        <v xml:space="preserve"> </v>
      </c>
      <c r="E19" s="21" t="str">
        <f t="shared" si="0"/>
        <v xml:space="preserve"> </v>
      </c>
    </row>
    <row r="20" spans="1:5" x14ac:dyDescent="0.35">
      <c r="A20" s="4" t="s">
        <v>21</v>
      </c>
      <c r="B20" s="10"/>
      <c r="C20" s="36"/>
      <c r="D20" s="8" t="str">
        <f>IFERROR(VLOOKUP(B20,'HFCs list'!$A$2:$B$35,2,FALSE)," ")</f>
        <v xml:space="preserve"> </v>
      </c>
      <c r="E20" s="21" t="str">
        <f t="shared" si="0"/>
        <v xml:space="preserve"> </v>
      </c>
    </row>
    <row r="21" spans="1:5" x14ac:dyDescent="0.35">
      <c r="A21" s="4" t="s">
        <v>22</v>
      </c>
      <c r="B21" s="10"/>
      <c r="C21" s="36"/>
      <c r="D21" s="8" t="str">
        <f>IFERROR(VLOOKUP(B21,'HFCs list'!$A$2:$B$35,2,FALSE)," ")</f>
        <v xml:space="preserve"> </v>
      </c>
      <c r="E21" s="21" t="str">
        <f t="shared" si="0"/>
        <v xml:space="preserve"> </v>
      </c>
    </row>
    <row r="22" spans="1:5" x14ac:dyDescent="0.35">
      <c r="A22" s="4" t="s">
        <v>23</v>
      </c>
      <c r="B22" s="10"/>
      <c r="C22" s="37"/>
      <c r="D22" s="8" t="str">
        <f>IFERROR(VLOOKUP(B22,'HFCs list'!$A$2:$B$35,2,FALSE)," ")</f>
        <v xml:space="preserve"> </v>
      </c>
      <c r="E22" s="21" t="str">
        <f t="shared" si="0"/>
        <v xml:space="preserve"> </v>
      </c>
    </row>
    <row r="23" spans="1:5" x14ac:dyDescent="0.35">
      <c r="A23" s="4" t="s">
        <v>24</v>
      </c>
      <c r="B23" s="10"/>
      <c r="C23" s="37"/>
      <c r="D23" s="8" t="str">
        <f>IFERROR(VLOOKUP(B23,'HFCs list'!$A$2:$B$35,2,FALSE)," ")</f>
        <v xml:space="preserve"> </v>
      </c>
      <c r="E23" s="21" t="str">
        <f t="shared" si="0"/>
        <v xml:space="preserve"> </v>
      </c>
    </row>
    <row r="24" spans="1:5" x14ac:dyDescent="0.35">
      <c r="A24" s="4" t="s">
        <v>25</v>
      </c>
      <c r="B24" s="10"/>
      <c r="C24" s="37"/>
      <c r="D24" s="8" t="str">
        <f>IFERROR(VLOOKUP(B24,'HFCs list'!$A$2:$B$35,2,FALSE)," ")</f>
        <v xml:space="preserve"> </v>
      </c>
      <c r="E24" s="21" t="str">
        <f t="shared" si="0"/>
        <v xml:space="preserve"> </v>
      </c>
    </row>
    <row r="25" spans="1:5" x14ac:dyDescent="0.35">
      <c r="A25" s="4" t="s">
        <v>26</v>
      </c>
      <c r="B25" s="10"/>
      <c r="C25" s="37"/>
      <c r="D25" s="8" t="str">
        <f>IFERROR(VLOOKUP(B25,'HFCs list'!$A$2:$B$35,2,FALSE)," ")</f>
        <v xml:space="preserve"> </v>
      </c>
      <c r="E25" s="21" t="str">
        <f>IFERROR(C25*D25, " ")</f>
        <v xml:space="preserve"> </v>
      </c>
    </row>
    <row r="26" spans="1:5" x14ac:dyDescent="0.35">
      <c r="A26" s="4" t="s">
        <v>27</v>
      </c>
      <c r="B26" s="10"/>
      <c r="C26" s="37"/>
      <c r="D26" s="8" t="str">
        <f>IFERROR(VLOOKUP(B26,'HFCs list'!$A$2:$B$35,2,FALSE)," ")</f>
        <v xml:space="preserve"> </v>
      </c>
      <c r="E26" s="21" t="str">
        <f t="shared" si="0"/>
        <v xml:space="preserve"> </v>
      </c>
    </row>
    <row r="27" spans="1:5" x14ac:dyDescent="0.35">
      <c r="A27" s="4" t="s">
        <v>28</v>
      </c>
      <c r="B27" s="10"/>
      <c r="C27" s="37"/>
      <c r="D27" s="8" t="str">
        <f>IFERROR(VLOOKUP(B27,'HFCs list'!$A$2:$B$35,2,FALSE)," ")</f>
        <v xml:space="preserve"> </v>
      </c>
      <c r="E27" s="21" t="str">
        <f t="shared" si="0"/>
        <v xml:space="preserve"> </v>
      </c>
    </row>
    <row r="28" spans="1:5" x14ac:dyDescent="0.35">
      <c r="A28" s="4" t="s">
        <v>29</v>
      </c>
      <c r="B28" s="10"/>
      <c r="C28" s="37"/>
      <c r="D28" s="8" t="str">
        <f>IFERROR(VLOOKUP(B28,'HFCs list'!$A$2:$B$35,2,FALSE)," ")</f>
        <v xml:space="preserve"> </v>
      </c>
      <c r="E28" s="21" t="str">
        <f t="shared" si="0"/>
        <v xml:space="preserve"> </v>
      </c>
    </row>
    <row r="29" spans="1:5" x14ac:dyDescent="0.35">
      <c r="A29" s="4" t="s">
        <v>30</v>
      </c>
      <c r="B29" s="10"/>
      <c r="C29" s="37"/>
      <c r="D29" s="8" t="str">
        <f>IFERROR(VLOOKUP(B29,'HFCs list'!$A$2:$B$35,2,FALSE)," ")</f>
        <v xml:space="preserve"> </v>
      </c>
      <c r="E29" s="21" t="str">
        <f t="shared" si="0"/>
        <v xml:space="preserve"> </v>
      </c>
    </row>
    <row r="30" spans="1:5" x14ac:dyDescent="0.35">
      <c r="A30" s="4" t="s">
        <v>31</v>
      </c>
      <c r="B30" s="10"/>
      <c r="C30" s="37"/>
      <c r="D30" s="8" t="str">
        <f>IFERROR(VLOOKUP(B30,'HFCs list'!$A$2:$B$35,2,FALSE)," ")</f>
        <v xml:space="preserve"> </v>
      </c>
      <c r="E30" s="21" t="str">
        <f t="shared" si="0"/>
        <v xml:space="preserve"> </v>
      </c>
    </row>
    <row r="31" spans="1:5" x14ac:dyDescent="0.35">
      <c r="A31" s="4" t="s">
        <v>32</v>
      </c>
      <c r="B31" s="10"/>
      <c r="C31" s="37"/>
      <c r="D31" s="8" t="str">
        <f>IFERROR(VLOOKUP(B31,'HFCs list'!$A$2:$B$35,2,FALSE)," ")</f>
        <v xml:space="preserve"> </v>
      </c>
      <c r="E31" s="21" t="str">
        <f t="shared" si="0"/>
        <v xml:space="preserve"> </v>
      </c>
    </row>
    <row r="32" spans="1:5" x14ac:dyDescent="0.35">
      <c r="A32" s="4" t="s">
        <v>33</v>
      </c>
      <c r="B32" s="10"/>
      <c r="C32" s="37"/>
      <c r="D32" s="8" t="str">
        <f>IFERROR(VLOOKUP(B32,'HFCs list'!$A$2:$B$35,2,FALSE)," ")</f>
        <v xml:space="preserve"> </v>
      </c>
      <c r="E32" s="21" t="str">
        <f t="shared" si="0"/>
        <v xml:space="preserve"> </v>
      </c>
    </row>
    <row r="33" spans="1:5" ht="15" thickBot="1" x14ac:dyDescent="0.4">
      <c r="A33" s="5" t="s">
        <v>34</v>
      </c>
      <c r="B33" s="10"/>
      <c r="C33" s="38"/>
      <c r="D33" s="8" t="str">
        <f>IFERROR(VLOOKUP(B33,'HFCs list'!$A$2:$B$35,2,FALSE)," ")</f>
        <v xml:space="preserve"> </v>
      </c>
      <c r="E33" s="22" t="str">
        <f t="shared" si="0"/>
        <v xml:space="preserve"> </v>
      </c>
    </row>
    <row r="34" spans="1:5" ht="15" thickBot="1" x14ac:dyDescent="0.4">
      <c r="B34" s="6" t="s">
        <v>35</v>
      </c>
      <c r="C34" s="39">
        <f>SUM(C16:C33)</f>
        <v>0</v>
      </c>
      <c r="D34" s="7"/>
      <c r="E34" s="23">
        <f>SUM(E16:E33)</f>
        <v>0</v>
      </c>
    </row>
  </sheetData>
  <sheetProtection algorithmName="SHA-512" hashValue="X6r48iVtjHNWysP++2czkJVy0PyjLT9SPXyWbJtGEwgiL1LMmmb2GSpWZbbuFDuqnGDqtAUiCehd3bPiIn5aug==" saltValue="QhUpHrgvScqTfzmY2h3GvQ==" spinCount="100000" sheet="1" objects="1" scenarios="1"/>
  <mergeCells count="2">
    <mergeCell ref="A9:I9"/>
    <mergeCell ref="A10:I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'HFCs list'!$A$2:$A$35</xm:f>
          </x14:formula1>
          <xm:sqref>B16:B33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I35"/>
  <sheetViews>
    <sheetView workbookViewId="0">
      <pane ySplit="1" topLeftCell="A2" activePane="bottomLeft" state="frozen"/>
      <selection pane="bottomLeft" activeCell="G33" sqref="G33"/>
    </sheetView>
  </sheetViews>
  <sheetFormatPr defaultColWidth="9.1796875" defaultRowHeight="14.5" x14ac:dyDescent="0.35"/>
  <cols>
    <col min="1" max="1" width="19.26953125" style="31" customWidth="1"/>
    <col min="2" max="2" width="16.54296875" style="31" customWidth="1"/>
    <col min="3" max="3" width="18.453125" style="31" customWidth="1"/>
    <col min="4" max="5" width="9.1796875" style="31"/>
    <col min="6" max="6" width="19.81640625" style="31" customWidth="1"/>
    <col min="7" max="7" width="27.26953125" style="31" customWidth="1"/>
    <col min="8" max="16384" width="9.1796875" style="31"/>
  </cols>
  <sheetData>
    <row r="1" spans="1:9" s="25" customFormat="1" ht="58" x14ac:dyDescent="0.35">
      <c r="A1" s="24" t="s">
        <v>36</v>
      </c>
      <c r="B1" s="24" t="s">
        <v>37</v>
      </c>
      <c r="C1" s="24" t="s">
        <v>38</v>
      </c>
      <c r="E1" s="26" t="s">
        <v>39</v>
      </c>
      <c r="F1" s="27" t="s">
        <v>10</v>
      </c>
      <c r="G1" s="28" t="s">
        <v>40</v>
      </c>
    </row>
    <row r="2" spans="1:9" ht="16.5" x14ac:dyDescent="0.35">
      <c r="A2" s="29" t="s">
        <v>41</v>
      </c>
      <c r="B2" s="30">
        <v>3500</v>
      </c>
      <c r="C2" s="29" t="s">
        <v>42</v>
      </c>
    </row>
    <row r="3" spans="1:9" ht="16.5" x14ac:dyDescent="0.3">
      <c r="A3" s="29" t="s">
        <v>43</v>
      </c>
      <c r="B3" s="30">
        <v>1100</v>
      </c>
      <c r="C3" s="29" t="s">
        <v>44</v>
      </c>
      <c r="D3" s="44"/>
      <c r="I3" s="45"/>
    </row>
    <row r="4" spans="1:9" ht="16.5" x14ac:dyDescent="0.35">
      <c r="A4" s="29" t="s">
        <v>45</v>
      </c>
      <c r="B4" s="30">
        <v>1430</v>
      </c>
      <c r="C4" s="29" t="s">
        <v>46</v>
      </c>
    </row>
    <row r="5" spans="1:9" ht="16.5" x14ac:dyDescent="0.3">
      <c r="A5" s="29" t="s">
        <v>47</v>
      </c>
      <c r="B5" s="30">
        <v>353</v>
      </c>
      <c r="C5" s="29" t="s">
        <v>48</v>
      </c>
      <c r="I5" s="45"/>
    </row>
    <row r="6" spans="1:9" ht="16.5" x14ac:dyDescent="0.35">
      <c r="A6" s="29" t="s">
        <v>49</v>
      </c>
      <c r="B6" s="30">
        <v>4470</v>
      </c>
      <c r="C6" s="29" t="s">
        <v>50</v>
      </c>
    </row>
    <row r="7" spans="1:9" ht="16.5" x14ac:dyDescent="0.35">
      <c r="A7" s="29" t="s">
        <v>51</v>
      </c>
      <c r="B7" s="30">
        <v>53</v>
      </c>
      <c r="C7" s="29" t="s">
        <v>52</v>
      </c>
    </row>
    <row r="8" spans="1:9" ht="16.5" x14ac:dyDescent="0.35">
      <c r="A8" s="29" t="s">
        <v>53</v>
      </c>
      <c r="B8" s="30">
        <v>124</v>
      </c>
      <c r="C8" s="29" t="s">
        <v>54</v>
      </c>
    </row>
    <row r="9" spans="1:9" ht="16.5" x14ac:dyDescent="0.35">
      <c r="A9" s="29" t="s">
        <v>55</v>
      </c>
      <c r="B9" s="30">
        <v>3220</v>
      </c>
      <c r="C9" s="29" t="s">
        <v>56</v>
      </c>
    </row>
    <row r="10" spans="1:9" ht="16.5" x14ac:dyDescent="0.35">
      <c r="A10" s="29" t="s">
        <v>57</v>
      </c>
      <c r="B10" s="30">
        <v>14800</v>
      </c>
      <c r="C10" s="29" t="s">
        <v>58</v>
      </c>
    </row>
    <row r="11" spans="1:9" ht="16.5" x14ac:dyDescent="0.35">
      <c r="A11" s="29" t="s">
        <v>59</v>
      </c>
      <c r="B11" s="30">
        <v>1340</v>
      </c>
      <c r="C11" s="29" t="s">
        <v>60</v>
      </c>
    </row>
    <row r="12" spans="1:9" ht="16.5" x14ac:dyDescent="0.35">
      <c r="A12" s="29" t="s">
        <v>61</v>
      </c>
      <c r="B12" s="30">
        <v>1370</v>
      </c>
      <c r="C12" s="29" t="s">
        <v>62</v>
      </c>
    </row>
    <row r="13" spans="1:9" ht="16.5" x14ac:dyDescent="0.35">
      <c r="A13" s="29" t="s">
        <v>63</v>
      </c>
      <c r="B13" s="30">
        <v>9810</v>
      </c>
      <c r="C13" s="29" t="s">
        <v>64</v>
      </c>
    </row>
    <row r="14" spans="1:9" ht="16.5" x14ac:dyDescent="0.35">
      <c r="A14" s="29" t="s">
        <v>65</v>
      </c>
      <c r="B14" s="30">
        <v>693</v>
      </c>
      <c r="C14" s="29" t="s">
        <v>66</v>
      </c>
    </row>
    <row r="15" spans="1:9" ht="16.5" x14ac:dyDescent="0.35">
      <c r="A15" s="29" t="s">
        <v>67</v>
      </c>
      <c r="B15" s="30">
        <v>1030</v>
      </c>
      <c r="C15" s="29" t="s">
        <v>68</v>
      </c>
    </row>
    <row r="16" spans="1:9" ht="16.5" x14ac:dyDescent="0.35">
      <c r="A16" s="29" t="s">
        <v>69</v>
      </c>
      <c r="B16" s="30">
        <v>675</v>
      </c>
      <c r="C16" s="29" t="s">
        <v>70</v>
      </c>
    </row>
    <row r="17" spans="1:3" ht="16.5" x14ac:dyDescent="0.35">
      <c r="A17" s="29" t="s">
        <v>71</v>
      </c>
      <c r="B17" s="30">
        <v>794</v>
      </c>
      <c r="C17" s="29" t="s">
        <v>72</v>
      </c>
    </row>
    <row r="18" spans="1:3" ht="16.5" x14ac:dyDescent="0.35">
      <c r="A18" s="29" t="s">
        <v>73</v>
      </c>
      <c r="B18" s="30">
        <v>92</v>
      </c>
      <c r="C18" s="29" t="s">
        <v>74</v>
      </c>
    </row>
    <row r="19" spans="1:3" ht="16.5" x14ac:dyDescent="0.35">
      <c r="A19" s="29" t="s">
        <v>75</v>
      </c>
      <c r="B19" s="30">
        <v>1640</v>
      </c>
      <c r="C19" s="29" t="s">
        <v>76</v>
      </c>
    </row>
    <row r="20" spans="1:3" ht="29" x14ac:dyDescent="0.35">
      <c r="A20" s="43" t="s">
        <v>77</v>
      </c>
      <c r="B20" s="33">
        <v>960</v>
      </c>
      <c r="C20" s="34" t="s">
        <v>78</v>
      </c>
    </row>
    <row r="21" spans="1:3" ht="43.5" x14ac:dyDescent="0.35">
      <c r="A21" s="32" t="s">
        <v>17</v>
      </c>
      <c r="B21" s="33">
        <v>3940</v>
      </c>
      <c r="C21" s="34" t="s">
        <v>79</v>
      </c>
    </row>
    <row r="22" spans="1:3" ht="43.5" x14ac:dyDescent="0.35">
      <c r="A22" s="32" t="s">
        <v>80</v>
      </c>
      <c r="B22" s="33">
        <v>1640</v>
      </c>
      <c r="C22" s="34" t="s">
        <v>81</v>
      </c>
    </row>
    <row r="23" spans="1:3" ht="43.5" x14ac:dyDescent="0.35">
      <c r="A23" s="32" t="s">
        <v>82</v>
      </c>
      <c r="B23" s="33">
        <v>1820</v>
      </c>
      <c r="C23" s="34" t="s">
        <v>83</v>
      </c>
    </row>
    <row r="24" spans="1:3" ht="43.5" x14ac:dyDescent="0.35">
      <c r="A24" s="32" t="s">
        <v>84</v>
      </c>
      <c r="B24" s="33">
        <v>2430</v>
      </c>
      <c r="C24" s="28" t="s">
        <v>85</v>
      </c>
    </row>
    <row r="25" spans="1:3" ht="29" x14ac:dyDescent="0.35">
      <c r="A25" s="32" t="s">
        <v>86</v>
      </c>
      <c r="B25" s="33">
        <v>1920</v>
      </c>
      <c r="C25" s="34" t="s">
        <v>87</v>
      </c>
    </row>
    <row r="26" spans="1:3" ht="43.5" x14ac:dyDescent="0.35">
      <c r="A26" s="32" t="s">
        <v>88</v>
      </c>
      <c r="B26" s="33">
        <v>1950</v>
      </c>
      <c r="C26" s="28" t="s">
        <v>89</v>
      </c>
    </row>
    <row r="27" spans="1:3" ht="43.5" x14ac:dyDescent="0.35">
      <c r="A27" s="32" t="s">
        <v>90</v>
      </c>
      <c r="B27" s="33">
        <v>770</v>
      </c>
      <c r="C27" s="28" t="s">
        <v>91</v>
      </c>
    </row>
    <row r="28" spans="1:3" ht="43.5" x14ac:dyDescent="0.35">
      <c r="A28" s="32" t="s">
        <v>92</v>
      </c>
      <c r="B28" s="33">
        <v>2130</v>
      </c>
      <c r="C28" s="28" t="s">
        <v>93</v>
      </c>
    </row>
    <row r="29" spans="1:3" ht="43.5" x14ac:dyDescent="0.35">
      <c r="A29" s="32" t="s">
        <v>94</v>
      </c>
      <c r="B29" s="33">
        <v>2850</v>
      </c>
      <c r="C29" s="28" t="s">
        <v>95</v>
      </c>
    </row>
    <row r="30" spans="1:3" ht="58" x14ac:dyDescent="0.35">
      <c r="A30" s="32" t="s">
        <v>96</v>
      </c>
      <c r="B30" s="33">
        <v>2140</v>
      </c>
      <c r="C30" s="34" t="s">
        <v>97</v>
      </c>
    </row>
    <row r="31" spans="1:3" ht="58" x14ac:dyDescent="0.35">
      <c r="A31" s="32" t="s">
        <v>98</v>
      </c>
      <c r="B31" s="33">
        <v>2260</v>
      </c>
      <c r="C31" s="28" t="s">
        <v>99</v>
      </c>
    </row>
    <row r="32" spans="1:3" ht="58" x14ac:dyDescent="0.35">
      <c r="A32" s="32" t="s">
        <v>100</v>
      </c>
      <c r="B32" s="33">
        <v>1270</v>
      </c>
      <c r="C32" s="34" t="s">
        <v>101</v>
      </c>
    </row>
    <row r="33" spans="1:3" ht="58" x14ac:dyDescent="0.35">
      <c r="A33" s="32" t="s">
        <v>102</v>
      </c>
      <c r="B33" s="33">
        <v>1280</v>
      </c>
      <c r="C33" s="28" t="s">
        <v>103</v>
      </c>
    </row>
    <row r="34" spans="1:3" ht="43.5" x14ac:dyDescent="0.35">
      <c r="A34" s="32" t="s">
        <v>104</v>
      </c>
      <c r="B34" s="33">
        <v>2140</v>
      </c>
      <c r="C34" s="28" t="s">
        <v>105</v>
      </c>
    </row>
    <row r="35" spans="1:3" ht="29" x14ac:dyDescent="0.35">
      <c r="A35" s="32" t="s">
        <v>106</v>
      </c>
      <c r="B35" s="33">
        <v>3980</v>
      </c>
      <c r="C35" s="34" t="s">
        <v>107</v>
      </c>
    </row>
  </sheetData>
  <autoFilter ref="A1:B32" xr:uid="{00000000-0009-0000-0000-000001000000}"/>
  <sortState xmlns:xlrd2="http://schemas.microsoft.com/office/spreadsheetml/2017/richdata2" ref="A2:C35">
    <sortCondition ref="A2:A35"/>
  </sortState>
  <pageMargins left="0.70866141732283472" right="0.70866141732283472" top="0.74803149606299213" bottom="0.74803149606299213"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d12b3a59-6397-4d15-930a-dc7894fa5f46" ContentTypeId="0x0101002D98650453921445944171B33CD6F877" PreviousValue="false"/>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EmAttachCount xmlns="http://schemas.microsoft.com/sharepoint/v3/fields" xsi:nil="true"/>
    <EmAttachmentNames xmlns="http://schemas.microsoft.com/sharepoint/v3/fields" xsi:nil="true"/>
    <EmReceivedOnBehalfOfName xmlns="http://schemas.microsoft.com/sharepoint/v3/fields" xsi:nil="true"/>
    <EmImportance xmlns="http://schemas.microsoft.com/sharepoint/v3/fields" xsi:nil="true"/>
    <EmCC xmlns="http://schemas.microsoft.com/sharepoint/v3/fields" xsi:nil="true"/>
    <EmCCSMTPAddress xmlns="http://schemas.microsoft.com/sharepoint/v3/fields" xsi:nil="true"/>
    <EmReceivedByName xmlns="http://schemas.microsoft.com/sharepoint/v3/fields" xsi:nil="true"/>
    <EmSentOnBehalfOfName xmlns="http://schemas.microsoft.com/sharepoint/v3/fields" xsi:nil="true"/>
    <EmCompanies xmlns="http://schemas.microsoft.com/sharepoint/v3/fields" xsi:nil="true"/>
    <EmID xmlns="http://schemas.microsoft.com/sharepoint/v3/fields" xsi:nil="true"/>
    <DocModifiedSaved xmlns="http://schemas.microsoft.com/sharepoint/v3/fields" xsi:nil="true"/>
    <EmBCC xmlns="http://schemas.microsoft.com/sharepoint/v3/fields" xsi:nil="true"/>
    <EmBCCSMTPAddress xmlns="http://schemas.microsoft.com/sharepoint/v3/fields" xsi:nil="true"/>
    <EmCon xmlns="http://schemas.microsoft.com/sharepoint/v3/fields" xsi:nil="true"/>
    <EmFromName xmlns="http://schemas.microsoft.com/sharepoint/v3/fields" xsi:nil="true"/>
    <EmHasAttachments xmlns="http://schemas.microsoft.com/sharepoint/v3/fields" xsi:nil="true"/>
    <EmRetentionPolicyName xmlns="http://schemas.microsoft.com/sharepoint/v3/fields" xsi:nil="true"/>
    <EmSubject xmlns="http://schemas.microsoft.com/sharepoint/v3/fields" xsi:nil="true"/>
    <EmType xmlns="http://schemas.microsoft.com/sharepoint/v3/fields" xsi:nil="true"/>
    <EmDateSent xmlns="http://schemas.microsoft.com/sharepoint/v3/fields" xsi:nil="true"/>
    <EmReplyRecipientNames xmlns="http://schemas.microsoft.com/sharepoint/v3/fields" xsi:nil="true"/>
    <EmReplyRecipients xmlns="http://schemas.microsoft.com/sharepoint/v3/fields" xsi:nil="true"/>
    <EmDateReceived xmlns="http://schemas.microsoft.com/sharepoint/v3/fields" xsi:nil="true"/>
    <EmToAddress xmlns="http://schemas.microsoft.com/sharepoint/v3/fields" xsi:nil="true"/>
    <ContentOwner xmlns="d9c6f299-dc7c-49c5-a3f7-54d1288b5f35">
      <UserInfo>
        <DisplayName/>
        <AccountId xsi:nil="true"/>
        <AccountType/>
      </UserInfo>
    </ContentOwner>
    <EmFrom xmlns="http://schemas.microsoft.com/sharepoint/v3/fields" xsi:nil="true"/>
    <EmTo xmlns="http://schemas.microsoft.com/sharepoint/v3/fields" xsi:nil="true"/>
    <EmToSMTPAddress xmlns="http://schemas.microsoft.com/sharepoint/v3/fields" xsi:nil="true"/>
    <DeclassificationDate xmlns="d9c6f299-dc7c-49c5-a3f7-54d1288b5f35" xsi:nil="true"/>
    <NZBN xmlns="d9c6f299-dc7c-49c5-a3f7-54d1288b5f35" xsi:nil="true"/>
    <DocCreatedSaved xmlns="http://schemas.microsoft.com/sharepoint/v3/fields" xsi:nil="true"/>
    <EmDate xmlns="http://schemas.microsoft.com/sharepoint/v3/fields" xsi:nil="true"/>
    <EmSensitivity xmlns="http://schemas.microsoft.com/sharepoint/v3/fields" xsi:nil="true"/>
    <CategoryDescription xmlns="http://schemas.microsoft.com/sharepoint.v3" xsi:nil="true"/>
    <EmBody xmlns="http://schemas.microsoft.com/sharepoint/v3/fields" xsi:nil="true"/>
    <EmCategory xmlns="http://schemas.microsoft.com/sharepoint/v3/fields" xsi:nil="true"/>
    <EmFromSMTPAddress xmlns="http://schemas.microsoft.com/sharepoint/v3/fields" xsi:nil="true"/>
    <m57e2569c9854992bd60e4e220825908 xmlns="d9c6f299-dc7c-49c5-a3f7-54d1288b5f35">
      <Terms xmlns="http://schemas.microsoft.com/office/infopath/2007/PartnerControls">
        <TermInfo xmlns="http://schemas.microsoft.com/office/infopath/2007/PartnerControls">
          <TermName xmlns="http://schemas.microsoft.com/office/infopath/2007/PartnerControls">HS Applications</TermName>
          <TermId xmlns="http://schemas.microsoft.com/office/infopath/2007/PartnerControls">73f3cb3a-00fc-4824-8a71-942180c54675</TermId>
        </TermInfo>
      </Terms>
    </m57e2569c9854992bd60e4e220825908>
    <TaxCatchAll xmlns="d9c6f299-dc7c-49c5-a3f7-54d1288b5f35">
      <Value>31</Value>
      <Value>10</Value>
      <Value>9</Value>
      <Value>8</Value>
      <Value>6</Value>
      <Value>4</Value>
    </TaxCatchAll>
    <c996ada1f4cc4fa2ab25cb621c3f449b xmlns="d9c6f299-dc7c-49c5-a3f7-54d1288b5f35">
      <Terms xmlns="http://schemas.microsoft.com/office/infopath/2007/PartnerControls"/>
    </c996ada1f4cc4fa2ab25cb621c3f449b>
    <ne53df6763b64775a43160ce2b962c06 xmlns="d9c6f299-dc7c-49c5-a3f7-54d1288b5f35">
      <Terms xmlns="http://schemas.microsoft.com/office/infopath/2007/PartnerControls">
        <TermInfo xmlns="http://schemas.microsoft.com/office/infopath/2007/PartnerControls">
          <TermName xmlns="http://schemas.microsoft.com/office/infopath/2007/PartnerControls">2022/23</TermName>
          <TermId xmlns="http://schemas.microsoft.com/office/infopath/2007/PartnerControls">ef9b8fcf-e476-42e5-9d9b-c2ca6635ffe1</TermId>
        </TermInfo>
      </Terms>
    </ne53df6763b64775a43160ce2b962c06>
    <k79c862f7a324038930b3b631bdedeb0 xmlns="d9c6f299-dc7c-49c5-a3f7-54d1288b5f35">
      <Terms xmlns="http://schemas.microsoft.com/office/infopath/2007/PartnerControls">
        <TermInfo xmlns="http://schemas.microsoft.com/office/infopath/2007/PartnerControls">
          <TermName xmlns="http://schemas.microsoft.com/office/infopath/2007/PartnerControls">Hazardous Substances and New Organisms Act 1996</TermName>
          <TermId xmlns="http://schemas.microsoft.com/office/infopath/2007/PartnerControls">f8f004d3-de9a-4687-bcb2-c384b3537949</TermId>
        </TermInfo>
      </Terms>
    </k79c862f7a324038930b3b631bdedeb0>
    <Key_x0020_Words xmlns="d9c6f299-dc7c-49c5-a3f7-54d1288b5f35" xsi:nil="true"/>
    <Subjects xmlns="d9c6f299-dc7c-49c5-a3f7-54d1288b5f35" xsi:nil="true"/>
    <EmConversationID xmlns="http://schemas.microsoft.com/sharepoint/v3/fields" xsi:nil="true"/>
    <EmConversationIndex xmlns="http://schemas.microsoft.com/sharepoint/v3/fields" xsi:nil="true"/>
    <na367c898b5b4354a9bc990fd11a5af7 xmlns="d9c6f299-dc7c-49c5-a3f7-54d1288b5f35">
      <Terms xmlns="http://schemas.microsoft.com/office/infopath/2007/PartnerControls"/>
    </na367c898b5b4354a9bc990fd11a5af7>
  </documentManagement>
</p:properties>
</file>

<file path=customXml/item5.xml><?xml version="1.0" encoding="utf-8"?>
<ct:contentTypeSchema xmlns:ct="http://schemas.microsoft.com/office/2006/metadata/contentType" xmlns:ma="http://schemas.microsoft.com/office/2006/metadata/properties/metaAttributes" ct:_="" ma:_="" ma:contentTypeName="eFile" ma:contentTypeID="0x0101002D98650453921445944171B33CD6F87700D9DCAF96E5D9B045B8CE6101FFF299DD" ma:contentTypeVersion="7120" ma:contentTypeDescription="EPA core content type which contains all EPA core metadata.&#10;" ma:contentTypeScope="" ma:versionID="47770e34325af50d4686de5a708d6f92">
  <xsd:schema xmlns:xsd="http://www.w3.org/2001/XMLSchema" xmlns:xs="http://www.w3.org/2001/XMLSchema" xmlns:p="http://schemas.microsoft.com/office/2006/metadata/properties" xmlns:ns2="d9c6f299-dc7c-49c5-a3f7-54d1288b5f35" xmlns:ns3="http://schemas.microsoft.com/sharepoint.v3" xmlns:ns4="http://schemas.microsoft.com/sharepoint/v3/fields" targetNamespace="http://schemas.microsoft.com/office/2006/metadata/properties" ma:root="true" ma:fieldsID="489b7b7ab54fc5959665660b89d7511b" ns2:_="" ns3:_="" ns4:_="">
    <xsd:import namespace="d9c6f299-dc7c-49c5-a3f7-54d1288b5f35"/>
    <xsd:import namespace="http://schemas.microsoft.com/sharepoint.v3"/>
    <xsd:import namespace="http://schemas.microsoft.com/sharepoint/v3/fields"/>
    <xsd:element name="properties">
      <xsd:complexType>
        <xsd:sequence>
          <xsd:element name="documentManagement">
            <xsd:complexType>
              <xsd:all>
                <xsd:element ref="ns2:NZBN" minOccurs="0"/>
                <xsd:element ref="ns3:CategoryDescription" minOccurs="0"/>
                <xsd:element ref="ns4:DocCreatedSaved" minOccurs="0"/>
                <xsd:element ref="ns4:DocModifiedSaved" minOccurs="0"/>
                <xsd:element ref="ns4:EmAttachCount" minOccurs="0"/>
                <xsd:element ref="ns4:EmAttachmentNames" minOccurs="0"/>
                <xsd:element ref="ns4:EmBCC" minOccurs="0"/>
                <xsd:element ref="ns4:EmBCCSMTPAddress" minOccurs="0"/>
                <xsd:element ref="ns4:EmBody" minOccurs="0"/>
                <xsd:element ref="ns4:EmCategory" minOccurs="0"/>
                <xsd:element ref="ns4:EmCC" minOccurs="0"/>
                <xsd:element ref="ns4:EmCCSMTPAddress" minOccurs="0"/>
                <xsd:element ref="ns4:EmCompanies" minOccurs="0"/>
                <xsd:element ref="ns4:EmCon" minOccurs="0"/>
                <xsd:element ref="ns4:EmConversationID" minOccurs="0"/>
                <xsd:element ref="ns4:EmConversationIndex" minOccurs="0"/>
                <xsd:element ref="ns4:EmDate" minOccurs="0"/>
                <xsd:element ref="ns4:EmDateReceived" minOccurs="0"/>
                <xsd:element ref="ns4:EmDateSent" minOccurs="0"/>
                <xsd:element ref="ns4:EmFrom" minOccurs="0"/>
                <xsd:element ref="ns4:EmFromName" minOccurs="0"/>
                <xsd:element ref="ns4:EmFromSMTPAddress" minOccurs="0"/>
                <xsd:element ref="ns4:EmHasAttachments" minOccurs="0"/>
                <xsd:element ref="ns4:EmID" minOccurs="0"/>
                <xsd:element ref="ns4:EmImportance" minOccurs="0"/>
                <xsd:element ref="ns4:EmReceivedByName" minOccurs="0"/>
                <xsd:element ref="ns4:EmReceivedOnBehalfOfName" minOccurs="0"/>
                <xsd:element ref="ns4:EmReplyRecipientNames" minOccurs="0"/>
                <xsd:element ref="ns4:EmReplyRecipients" minOccurs="0"/>
                <xsd:element ref="ns4:EmRetentionPolicyName" minOccurs="0"/>
                <xsd:element ref="ns4:EmSensitivity" minOccurs="0"/>
                <xsd:element ref="ns4:EmSentOnBehalfOfName" minOccurs="0"/>
                <xsd:element ref="ns4:EmSubject" minOccurs="0"/>
                <xsd:element ref="ns4:EmTo" minOccurs="0"/>
                <xsd:element ref="ns4:EmToAddress" minOccurs="0"/>
                <xsd:element ref="ns4:EmToSMTPAddress" minOccurs="0"/>
                <xsd:element ref="ns4:EmType" minOccurs="0"/>
                <xsd:element ref="ns2:m57e2569c9854992bd60e4e220825908" minOccurs="0"/>
                <xsd:element ref="ns2:ne53df6763b64775a43160ce2b962c06" minOccurs="0"/>
                <xsd:element ref="ns2:na367c898b5b4354a9bc990fd11a5af7" minOccurs="0"/>
                <xsd:element ref="ns2:TaxCatchAll" minOccurs="0"/>
                <xsd:element ref="ns2:TaxCatchAllLabel" minOccurs="0"/>
                <xsd:element ref="ns2:DeclassificationDate" minOccurs="0"/>
                <xsd:element ref="ns2:k79c862f7a324038930b3b631bdedeb0" minOccurs="0"/>
                <xsd:element ref="ns2:c996ada1f4cc4fa2ab25cb621c3f449b" minOccurs="0"/>
                <xsd:element ref="ns2:ContentOwner" minOccurs="0"/>
                <xsd:element ref="ns2:Key_x0020_Words" minOccurs="0"/>
                <xsd:element ref="ns2:Subjec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c6f299-dc7c-49c5-a3f7-54d1288b5f35" elementFormDefault="qualified">
    <xsd:import namespace="http://schemas.microsoft.com/office/2006/documentManagement/types"/>
    <xsd:import namespace="http://schemas.microsoft.com/office/infopath/2007/PartnerControls"/>
    <xsd:element name="NZBN" ma:index="3" nillable="true" ma:displayName="Organisation NZBN" ma:decimals="0" ma:description="The NZBN of the organisation associated with the resource" ma:internalName="NZBN" ma:percentage="FALSE">
      <xsd:simpleType>
        <xsd:restriction base="dms:Number"/>
      </xsd:simpleType>
    </xsd:element>
    <xsd:element name="m57e2569c9854992bd60e4e220825908" ma:index="43" nillable="true" ma:taxonomy="true" ma:internalName="m57e2569c9854992bd60e4e220825908" ma:taxonomyFieldName="BusinessUnit" ma:displayName="Business unit" ma:indexed="true" ma:default="" ma:fieldId="{657e2569-c985-4992-bd60-e4e220825908}" ma:sspId="d12b3a59-6397-4d15-930a-dc7894fa5f46" ma:termSetId="d377de92-3cdd-458c-8680-ce48c0a256b1" ma:anchorId="00000000-0000-0000-0000-000000000000" ma:open="true" ma:isKeyword="false">
      <xsd:complexType>
        <xsd:sequence>
          <xsd:element ref="pc:Terms" minOccurs="0" maxOccurs="1"/>
        </xsd:sequence>
      </xsd:complexType>
    </xsd:element>
    <xsd:element name="ne53df6763b64775a43160ce2b962c06" ma:index="46" nillable="true" ma:taxonomy="true" ma:internalName="ne53df6763b64775a43160ce2b962c06" ma:taxonomyFieldName="FinancialYear" ma:displayName="Financial year" ma:indexed="true" ma:default="31;#2022/23|ef9b8fcf-e476-42e5-9d9b-c2ca6635ffe1" ma:fieldId="{7e53df67-63b6-4775-a431-60ce2b962c06}" ma:sspId="d12b3a59-6397-4d15-930a-dc7894fa5f46" ma:termSetId="c658230e-17e6-4339-96fc-4401de2994a8" ma:anchorId="00000000-0000-0000-0000-000000000000" ma:open="true" ma:isKeyword="false">
      <xsd:complexType>
        <xsd:sequence>
          <xsd:element ref="pc:Terms" minOccurs="0" maxOccurs="1"/>
        </xsd:sequence>
      </xsd:complexType>
    </xsd:element>
    <xsd:element name="na367c898b5b4354a9bc990fd11a5af7" ma:index="48" nillable="true" ma:taxonomy="true" ma:internalName="na367c898b5b4354a9bc990fd11a5af7" ma:taxonomyFieldName="SecurityClassificationMarking" ma:displayName="Security classification marking" ma:default="" ma:fieldId="{7a367c89-8b5b-4354-a9bc-990fd11a5af7}" ma:sspId="d12b3a59-6397-4d15-930a-dc7894fa5f46" ma:termSetId="a2be9342-0e1e-4c83-b819-e0186373a77e" ma:anchorId="00000000-0000-0000-0000-000000000000" ma:open="false" ma:isKeyword="false">
      <xsd:complexType>
        <xsd:sequence>
          <xsd:element ref="pc:Terms" minOccurs="0" maxOccurs="1"/>
        </xsd:sequence>
      </xsd:complexType>
    </xsd:element>
    <xsd:element name="TaxCatchAll" ma:index="51" nillable="true" ma:displayName="Taxonomy Catch All Column" ma:hidden="true" ma:list="{c0ff502e-114b-4a72-b912-8c701e26a52a}" ma:internalName="TaxCatchAll" ma:showField="CatchAllData" ma:web="64b25be9-19a6-40d7-8792-0d05ac0bb34a">
      <xsd:complexType>
        <xsd:complexContent>
          <xsd:extension base="dms:MultiChoiceLookup">
            <xsd:sequence>
              <xsd:element name="Value" type="dms:Lookup" maxOccurs="unbounded" minOccurs="0" nillable="true"/>
            </xsd:sequence>
          </xsd:extension>
        </xsd:complexContent>
      </xsd:complexType>
    </xsd:element>
    <xsd:element name="TaxCatchAllLabel" ma:index="52" nillable="true" ma:displayName="Taxonomy Catch All Column1" ma:hidden="true" ma:list="{c0ff502e-114b-4a72-b912-8c701e26a52a}" ma:internalName="TaxCatchAllLabel" ma:readOnly="true" ma:showField="CatchAllDataLabel" ma:web="64b25be9-19a6-40d7-8792-0d05ac0bb34a">
      <xsd:complexType>
        <xsd:complexContent>
          <xsd:extension base="dms:MultiChoiceLookup">
            <xsd:sequence>
              <xsd:element name="Value" type="dms:Lookup" maxOccurs="unbounded" minOccurs="0" nillable="true"/>
            </xsd:sequence>
          </xsd:extension>
        </xsd:complexContent>
      </xsd:complexType>
    </xsd:element>
    <xsd:element name="DeclassificationDate" ma:index="53" nillable="true" ma:displayName="Declassification date" ma:description="The date at which the security marking applied to the resource may be removed." ma:format="DateTime" ma:hidden="true" ma:internalName="DeclassificationDate" ma:readOnly="false">
      <xsd:simpleType>
        <xsd:restriction base="dms:DateTime"/>
      </xsd:simpleType>
    </xsd:element>
    <xsd:element name="k79c862f7a324038930b3b631bdedeb0" ma:index="55" nillable="true" ma:taxonomy="true" ma:internalName="k79c862f7a324038930b3b631bdedeb0" ma:taxonomyFieldName="Legislation" ma:displayName="Legislation" ma:default="" ma:fieldId="{479c862f-7a32-4038-930b-3b631bdedeb0}" ma:taxonomyMulti="true" ma:sspId="d12b3a59-6397-4d15-930a-dc7894fa5f46" ma:termSetId="0fe2a3c8-1ceb-4f38-af63-26bff46f3afd" ma:anchorId="00000000-0000-0000-0000-000000000000" ma:open="true" ma:isKeyword="false">
      <xsd:complexType>
        <xsd:sequence>
          <xsd:element ref="pc:Terms" minOccurs="0" maxOccurs="1"/>
        </xsd:sequence>
      </xsd:complexType>
    </xsd:element>
    <xsd:element name="c996ada1f4cc4fa2ab25cb621c3f449b" ma:index="57" nillable="true" ma:taxonomy="true" ma:internalName="c996ada1f4cc4fa2ab25cb621c3f449b" ma:taxonomyFieldName="Organisation" ma:displayName="Organisation name" ma:default="" ma:fieldId="{c996ada1-f4cc-4fa2-ab25-cb621c3f449b}" ma:sspId="d12b3a59-6397-4d15-930a-dc7894fa5f46" ma:termSetId="04075e11-84e9-4f13-bd57-0e3914812ca5" ma:anchorId="00000000-0000-0000-0000-000000000000" ma:open="true" ma:isKeyword="false">
      <xsd:complexType>
        <xsd:sequence>
          <xsd:element ref="pc:Terms" minOccurs="0" maxOccurs="1"/>
        </xsd:sequence>
      </xsd:complexType>
    </xsd:element>
    <xsd:element name="ContentOwner" ma:index="58" nillable="true" ma:displayName="Lead or assigned to" ma:description="Who it is assigned to" ma:hidden="true" ma:list="UserInfo" ma:SharePointGroup="0" ma:internalName="ContentOwner"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ey_x0020_Words" ma:index="59" nillable="true" ma:displayName="Key Words" ma:description="An uncontrolled subject tag which describes an aspect of the resource." ma:indexed="true" ma:internalName="Key_x0020_Words">
      <xsd:simpleType>
        <xsd:restriction base="dms:Text">
          <xsd:maxLength value="255"/>
        </xsd:restriction>
      </xsd:simpleType>
    </xsd:element>
    <xsd:element name="Subjects" ma:index="60" nillable="true" ma:displayName="Subjects" ma:description="An uncontrolled subject tag which describes an aspect of the resource." ma:hidden="true" ma:internalName="Subjects"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A description of content of the resource." ma:internalName="Category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ocCreatedSaved" ma:index="8" nillable="true" ma:displayName="Document Created Saved" ma:format="DateTime" ma:internalName="DocCreatedSaved" ma:readOnly="false">
      <xsd:simpleType>
        <xsd:restriction base="dms:DateTime"/>
      </xsd:simpleType>
    </xsd:element>
    <xsd:element name="DocModifiedSaved" ma:index="9" nillable="true" ma:displayName="Document Modified Saved" ma:format="DateTime" ma:internalName="DocModifiedSaved" ma:readOnly="false">
      <xsd:simpleType>
        <xsd:restriction base="dms:DateTime"/>
      </xsd:simpleType>
    </xsd:element>
    <xsd:element name="EmAttachCount" ma:index="10" nillable="true" ma:displayName="Email Attachment Count" ma:internalName="EmAttachCount" ma:readOnly="false">
      <xsd:simpleType>
        <xsd:restriction base="dms:Text"/>
      </xsd:simpleType>
    </xsd:element>
    <xsd:element name="EmAttachmentNames" ma:index="11" nillable="true" ma:displayName="Email Attachment Names" ma:internalName="EmAttachmentNames" ma:readOnly="false">
      <xsd:simpleType>
        <xsd:restriction base="dms:Note"/>
      </xsd:simpleType>
    </xsd:element>
    <xsd:element name="EmBCC" ma:index="12" nillable="true" ma:displayName="Email BCC" ma:internalName="EmBCC" ma:readOnly="false">
      <xsd:simpleType>
        <xsd:restriction base="dms:Note"/>
      </xsd:simpleType>
    </xsd:element>
    <xsd:element name="EmBCCSMTPAddress" ma:index="13" nillable="true" ma:displayName="Email BCC SMTP Address" ma:internalName="EmBCCSMTPAddress" ma:readOnly="false">
      <xsd:simpleType>
        <xsd:restriction base="dms:Note"/>
      </xsd:simpleType>
    </xsd:element>
    <xsd:element name="EmBody" ma:index="14" nillable="true" ma:displayName="Email Body" ma:internalName="EmBody" ma:readOnly="false">
      <xsd:simpleType>
        <xsd:restriction base="dms:Note"/>
      </xsd:simpleType>
    </xsd:element>
    <xsd:element name="EmCategory" ma:index="15" nillable="true" ma:displayName="Email Category" ma:internalName="EmCategory" ma:readOnly="false">
      <xsd:simpleType>
        <xsd:restriction base="dms:Text"/>
      </xsd:simpleType>
    </xsd:element>
    <xsd:element name="EmCC" ma:index="16" nillable="true" ma:displayName="Email CC" ma:internalName="EmCC" ma:readOnly="false">
      <xsd:simpleType>
        <xsd:restriction base="dms:Note"/>
      </xsd:simpleType>
    </xsd:element>
    <xsd:element name="EmCCSMTPAddress" ma:index="17" nillable="true" ma:displayName="Email CC SMTP Address" ma:internalName="EmCCSMTPAddress" ma:readOnly="false">
      <xsd:simpleType>
        <xsd:restriction base="dms:Note"/>
      </xsd:simpleType>
    </xsd:element>
    <xsd:element name="EmCompanies" ma:index="18" nillable="true" ma:displayName="Email Companies" ma:internalName="EmCompanies" ma:readOnly="false">
      <xsd:simpleType>
        <xsd:restriction base="dms:Text"/>
      </xsd:simpleType>
    </xsd:element>
    <xsd:element name="EmCon" ma:index="19" nillable="true" ma:displayName="Email Conversation" ma:internalName="EmCon" ma:readOnly="false">
      <xsd:simpleType>
        <xsd:restriction base="dms:Text"/>
      </xsd:simpleType>
    </xsd:element>
    <xsd:element name="EmConversationID" ma:index="20" nillable="true" ma:displayName="Email Conversation ID" ma:internalName="EmConversationID" ma:readOnly="false">
      <xsd:simpleType>
        <xsd:restriction base="dms:Note">
          <xsd:maxLength value="255"/>
        </xsd:restriction>
      </xsd:simpleType>
    </xsd:element>
    <xsd:element name="EmConversationIndex" ma:index="21" nillable="true" ma:displayName="Email Conversation Index" ma:internalName="EmConversationIndex" ma:readOnly="false">
      <xsd:simpleType>
        <xsd:restriction base="dms:Note">
          <xsd:maxLength value="255"/>
        </xsd:restriction>
      </xsd:simpleType>
    </xsd:element>
    <xsd:element name="EmDate" ma:index="22" nillable="true" ma:displayName="Email Date" ma:format="DateTime" ma:internalName="EmDate" ma:readOnly="false">
      <xsd:simpleType>
        <xsd:restriction base="dms:DateTime"/>
      </xsd:simpleType>
    </xsd:element>
    <xsd:element name="EmDateReceived" ma:index="23" nillable="true" ma:displayName="Email Date Received" ma:format="DateTime" ma:internalName="EmDateReceived" ma:readOnly="false">
      <xsd:simpleType>
        <xsd:restriction base="dms:DateTime"/>
      </xsd:simpleType>
    </xsd:element>
    <xsd:element name="EmDateSent" ma:index="24" nillable="true" ma:displayName="Email Date Sent" ma:format="DateTime" ma:internalName="EmDateSent" ma:readOnly="false">
      <xsd:simpleType>
        <xsd:restriction base="dms:DateTime"/>
      </xsd:simpleType>
    </xsd:element>
    <xsd:element name="EmFrom" ma:index="25" nillable="true" ma:displayName="Email From" ma:internalName="EmFrom" ma:readOnly="false">
      <xsd:simpleType>
        <xsd:restriction base="dms:Text"/>
      </xsd:simpleType>
    </xsd:element>
    <xsd:element name="EmFromName" ma:index="26" nillable="true" ma:displayName="Email From Name" ma:internalName="EmFromName" ma:readOnly="false">
      <xsd:simpleType>
        <xsd:restriction base="dms:Text"/>
      </xsd:simpleType>
    </xsd:element>
    <xsd:element name="EmFromSMTPAddress" ma:index="27" nillable="true" ma:displayName="Email From SMTP Address" ma:internalName="EmFromSMTPAddress" ma:readOnly="false">
      <xsd:simpleType>
        <xsd:restriction base="dms:Text"/>
      </xsd:simpleType>
    </xsd:element>
    <xsd:element name="EmHasAttachments" ma:index="28" nillable="true" ma:displayName="Email Has Attachments" ma:internalName="EmHasAttachments" ma:readOnly="false">
      <xsd:simpleType>
        <xsd:restriction base="dms:Boolean"/>
      </xsd:simpleType>
    </xsd:element>
    <xsd:element name="EmID" ma:index="29" nillable="true" ma:displayName="Email ID" ma:internalName="EmID" ma:readOnly="false">
      <xsd:simpleType>
        <xsd:restriction base="dms:Text"/>
      </xsd:simpleType>
    </xsd:element>
    <xsd:element name="EmImportance" ma:index="30" nillable="true" ma:displayName="Email Importance" ma:internalName="EmImportance" ma:readOnly="false">
      <xsd:simpleType>
        <xsd:restriction base="dms:Number"/>
      </xsd:simpleType>
    </xsd:element>
    <xsd:element name="EmReceivedByName" ma:index="31" nillable="true" ma:displayName="Email Received By Name" ma:internalName="EmReceivedByName" ma:readOnly="false">
      <xsd:simpleType>
        <xsd:restriction base="dms:Text"/>
      </xsd:simpleType>
    </xsd:element>
    <xsd:element name="EmReceivedOnBehalfOfName" ma:index="32" nillable="true" ma:displayName="Email Received On Behalf Of Name" ma:internalName="EmReceivedOnBehalfOfName" ma:readOnly="false">
      <xsd:simpleType>
        <xsd:restriction base="dms:Text"/>
      </xsd:simpleType>
    </xsd:element>
    <xsd:element name="EmReplyRecipientNames" ma:index="33" nillable="true" ma:displayName="Email Reply Recipient Names" ma:internalName="EmReplyRecipientNames" ma:readOnly="false">
      <xsd:simpleType>
        <xsd:restriction base="dms:Text"/>
      </xsd:simpleType>
    </xsd:element>
    <xsd:element name="EmReplyRecipients" ma:index="34" nillable="true" ma:displayName="Email Reply Recipients" ma:internalName="EmReplyRecipients" ma:readOnly="false">
      <xsd:simpleType>
        <xsd:restriction base="dms:Text"/>
      </xsd:simpleType>
    </xsd:element>
    <xsd:element name="EmRetentionPolicyName" ma:index="35" nillable="true" ma:displayName="Email Retention Policy Name" ma:internalName="EmRetentionPolicyName" ma:readOnly="false">
      <xsd:simpleType>
        <xsd:restriction base="dms:Text"/>
      </xsd:simpleType>
    </xsd:element>
    <xsd:element name="EmSensitivity" ma:index="36" nillable="true" ma:displayName="Email Sensitivity" ma:internalName="EmSensitivity" ma:readOnly="false">
      <xsd:simpleType>
        <xsd:restriction base="dms:Number"/>
      </xsd:simpleType>
    </xsd:element>
    <xsd:element name="EmSentOnBehalfOfName" ma:index="37" nillable="true" ma:displayName="Email Sent On Behalf Of Name" ma:internalName="EmSentOnBehalfOfName" ma:readOnly="false">
      <xsd:simpleType>
        <xsd:restriction base="dms:Text"/>
      </xsd:simpleType>
    </xsd:element>
    <xsd:element name="EmSubject" ma:index="38" nillable="true" ma:displayName="Email Subject" ma:internalName="EmSubject" ma:readOnly="false">
      <xsd:simpleType>
        <xsd:restriction base="dms:Text"/>
      </xsd:simpleType>
    </xsd:element>
    <xsd:element name="EmTo" ma:index="39" nillable="true" ma:displayName="Email To" ma:internalName="EmTo" ma:readOnly="false">
      <xsd:simpleType>
        <xsd:restriction base="dms:Note"/>
      </xsd:simpleType>
    </xsd:element>
    <xsd:element name="EmToAddress" ma:index="40" nillable="true" ma:displayName="Email To Address" ma:internalName="EmToAddress" ma:readOnly="false">
      <xsd:simpleType>
        <xsd:restriction base="dms:Note"/>
      </xsd:simpleType>
    </xsd:element>
    <xsd:element name="EmToSMTPAddress" ma:index="41" nillable="true" ma:displayName="Email To SMTP Address" ma:internalName="EmToSMTPAddress" ma:readOnly="false">
      <xsd:simpleType>
        <xsd:restriction base="dms:Note"/>
      </xsd:simpleType>
    </xsd:element>
    <xsd:element name="EmType" ma:index="42" nillable="true" ma:displayName="Email Type" ma:internalName="EmType"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6" ma:displayName="Content Type"/>
        <xsd:element ref="dc:title" minOccurs="0" maxOccurs="1" ma:index="5"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B1D5B2-F129-4C64-BB52-F5A1C3F381EE}">
  <ds:schemaRefs>
    <ds:schemaRef ds:uri="Microsoft.SharePoint.Taxonomy.ContentTypeSync"/>
  </ds:schemaRefs>
</ds:datastoreItem>
</file>

<file path=customXml/itemProps2.xml><?xml version="1.0" encoding="utf-8"?>
<ds:datastoreItem xmlns:ds="http://schemas.openxmlformats.org/officeDocument/2006/customXml" ds:itemID="{A0C50DFC-EB2C-4E4C-B909-D7CC9EE6B333}">
  <ds:schemaRefs>
    <ds:schemaRef ds:uri="http://schemas.microsoft.com/sharepoint/events"/>
  </ds:schemaRefs>
</ds:datastoreItem>
</file>

<file path=customXml/itemProps3.xml><?xml version="1.0" encoding="utf-8"?>
<ds:datastoreItem xmlns:ds="http://schemas.openxmlformats.org/officeDocument/2006/customXml" ds:itemID="{8D50FFF8-D852-4EC3-BD48-0972FEAB653A}">
  <ds:schemaRefs>
    <ds:schemaRef ds:uri="http://schemas.microsoft.com/sharepoint/v3/contenttype/forms"/>
  </ds:schemaRefs>
</ds:datastoreItem>
</file>

<file path=customXml/itemProps4.xml><?xml version="1.0" encoding="utf-8"?>
<ds:datastoreItem xmlns:ds="http://schemas.openxmlformats.org/officeDocument/2006/customXml" ds:itemID="{AE84EA89-1EDD-45C3-BB42-1C75C08698DB}">
  <ds:schemaRefs>
    <ds:schemaRef ds:uri="http://schemas.microsoft.com/office/infopath/2007/PartnerControls"/>
    <ds:schemaRef ds:uri="http://schemas.microsoft.com/office/2006/metadata/properties"/>
    <ds:schemaRef ds:uri="http://schemas.microsoft.com/office/2006/documentManagement/types"/>
    <ds:schemaRef ds:uri="http://schemas.microsoft.com/sharepoint.v3"/>
    <ds:schemaRef ds:uri="http://purl.org/dc/terms/"/>
    <ds:schemaRef ds:uri="http://schemas.openxmlformats.org/package/2006/metadata/core-properties"/>
    <ds:schemaRef ds:uri="http://schemas.microsoft.com/sharepoint/v3/fields"/>
    <ds:schemaRef ds:uri="d9c6f299-dc7c-49c5-a3f7-54d1288b5f35"/>
    <ds:schemaRef ds:uri="http://www.w3.org/XML/1998/namespace"/>
    <ds:schemaRef ds:uri="http://purl.org/dc/dcmitype/"/>
    <ds:schemaRef ds:uri="http://purl.org/dc/elements/1.1/"/>
  </ds:schemaRefs>
</ds:datastoreItem>
</file>

<file path=customXml/itemProps5.xml><?xml version="1.0" encoding="utf-8"?>
<ds:datastoreItem xmlns:ds="http://schemas.openxmlformats.org/officeDocument/2006/customXml" ds:itemID="{5693EC00-3FB3-41C3-87DA-019FD37425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c6f299-dc7c-49c5-a3f7-54d1288b5f35"/>
    <ds:schemaRef ds:uri="http://schemas.microsoft.com/sharepoint.v3"/>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CO2e_calculator_permit</vt:lpstr>
      <vt:lpstr>HFCs list</vt:lpstr>
      <vt:lpstr>'HFCs 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2019-04-16T03:11:31Z</dcterms:created>
  <dcterms:modified xsi:type="dcterms:W3CDTF">2023-05-19T03:55:19Z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0x0101002D98650453921445944171B33CD6F87700D9DCAF96E5D9B045B8CE6101FFF299DD</vt:lpwstr>
  </property>
  <property fmtid="{D5CDD505-2E9C-101B-9397-08002B2CF9AE}" pid="3" name="i9eb1ac082d24b7db0d9292a4b9a053a">
    <vt:lpwstr>No|f7e33442-8427-4d6f-8e8a-099288113722</vt:lpwstr>
  </property>
  <property fmtid="{D5CDD505-2E9C-101B-9397-08002B2CF9AE}" pid="4" name="de4a286b95064a22a21d003ff8662fa1">
    <vt:lpwstr>Open|065e90b9-3a7f-40dc-88e5-dfbf2839bea5</vt:lpwstr>
  </property>
  <property fmtid="{D5CDD505-2E9C-101B-9397-08002B2CF9AE}" pid="5" name="b762c43d7ff0410895efb805ad8c2a49">
    <vt:lpwstr>2021|44a441bf-c7bc-4744-98fd-bc14e1d194e2</vt:lpwstr>
  </property>
  <property fmtid="{D5CDD505-2E9C-101B-9397-08002B2CF9AE}" pid="6" name="_dlc_DocId">
    <vt:lpwstr>NZEPA-1997952560-58585</vt:lpwstr>
  </property>
  <property fmtid="{D5CDD505-2E9C-101B-9397-08002B2CF9AE}" pid="7" name="_dlc_DocIdItemGuid">
    <vt:lpwstr>114d3c35-5211-4efc-8035-fefd72d04320</vt:lpwstr>
  </property>
  <property fmtid="{D5CDD505-2E9C-101B-9397-08002B2CF9AE}" pid="8" name="_dlc_DocIdUrl">
    <vt:lpwstr>https://epaintune.sharepoint.com/teams/HS_OLPA/_layouts/15/DocIdRedir.aspx?ID=NZEPA-1997952560-58585, NZEPA-1997952560-58585</vt:lpwstr>
  </property>
  <property fmtid="{D5CDD505-2E9C-101B-9397-08002B2CF9AE}" pid="9" name="FinancialYear">
    <vt:lpwstr>31;#2022/23|ef9b8fcf-e476-42e5-9d9b-c2ca6635ffe1</vt:lpwstr>
  </property>
  <property fmtid="{D5CDD505-2E9C-101B-9397-08002B2CF9AE}" pid="10" name="SecurityClassificationMarking">
    <vt:lpwstr/>
  </property>
  <property fmtid="{D5CDD505-2E9C-101B-9397-08002B2CF9AE}" pid="11" name="m0c1894656014760af731de2a3be6e75">
    <vt:lpwstr/>
  </property>
  <property fmtid="{D5CDD505-2E9C-101B-9397-08002B2CF9AE}" pid="12" name="Vendor">
    <vt:lpwstr/>
  </property>
  <property fmtid="{D5CDD505-2E9C-101B-9397-08002B2CF9AE}" pid="13" name="Pathway">
    <vt:lpwstr/>
  </property>
  <property fmtid="{D5CDD505-2E9C-101B-9397-08002B2CF9AE}" pid="14" name="fd1a910e7c6d49b2b0fa72edd361c162">
    <vt:lpwstr/>
  </property>
  <property fmtid="{D5CDD505-2E9C-101B-9397-08002B2CF9AE}" pid="15" name="n8e854d3d8f64ceb8add7745cab68b57">
    <vt:lpwstr/>
  </property>
  <property fmtid="{D5CDD505-2E9C-101B-9397-08002B2CF9AE}" pid="16" name="AppTypeHS">
    <vt:lpwstr/>
  </property>
  <property fmtid="{D5CDD505-2E9C-101B-9397-08002B2CF9AE}" pid="17" name="BusinessUnit">
    <vt:lpwstr>10;#HS Applications|73f3cb3a-00fc-4824-8a71-942180c54675</vt:lpwstr>
  </property>
  <property fmtid="{D5CDD505-2E9C-101B-9397-08002B2CF9AE}" pid="18" name="MediaServiceImageTags">
    <vt:lpwstr/>
  </property>
  <property fmtid="{D5CDD505-2E9C-101B-9397-08002B2CF9AE}" pid="19" name="FileStatus">
    <vt:lpwstr>8;#Open|065e90b9-3a7f-40dc-88e5-dfbf2839bea5</vt:lpwstr>
  </property>
  <property fmtid="{D5CDD505-2E9C-101B-9397-08002B2CF9AE}" pid="20" name="kb1a1dd83a184636b5fc077b67a1afb4">
    <vt:lpwstr/>
  </property>
  <property fmtid="{D5CDD505-2E9C-101B-9397-08002B2CF9AE}" pid="21" name="ConfidentialHSNO">
    <vt:lpwstr>4;#No|f7e33442-8427-4d6f-8e8a-099288113722</vt:lpwstr>
  </property>
  <property fmtid="{D5CDD505-2E9C-101B-9397-08002B2CF9AE}" pid="22" name="Locations">
    <vt:lpwstr/>
  </property>
  <property fmtid="{D5CDD505-2E9C-101B-9397-08002B2CF9AE}" pid="23" name="SortingKey">
    <vt:lpwstr/>
  </property>
  <property fmtid="{D5CDD505-2E9C-101B-9397-08002B2CF9AE}" pid="24" name="c9de9687df98485c976b78f7df994319">
    <vt:lpwstr/>
  </property>
  <property fmtid="{D5CDD505-2E9C-101B-9397-08002B2CF9AE}" pid="25" name="Organisation">
    <vt:lpwstr/>
  </property>
  <property fmtid="{D5CDD505-2E9C-101B-9397-08002B2CF9AE}" pid="26" name="CalendarYear">
    <vt:lpwstr>6;#2021|44a441bf-c7bc-4744-98fd-bc14e1d194e2</vt:lpwstr>
  </property>
  <property fmtid="{D5CDD505-2E9C-101B-9397-08002B2CF9AE}" pid="27" name="Legislation">
    <vt:lpwstr>9;#Hazardous Substances and New Organisms Act 1996|f8f004d3-de9a-4687-bcb2-c384b3537949</vt:lpwstr>
  </property>
  <property fmtid="{D5CDD505-2E9C-101B-9397-08002B2CF9AE}" pid="28" name="lcf76f155ced4ddcb4097134ff3c332f">
    <vt:lpwstr/>
  </property>
  <property fmtid="{D5CDD505-2E9C-101B-9397-08002B2CF9AE}" pid="29" name="b5e257c49e0e4fa2a862a5015e7102f0">
    <vt:lpwstr/>
  </property>
  <property fmtid="{D5CDD505-2E9C-101B-9397-08002B2CF9AE}" pid="30" name="Applicant">
    <vt:lpwstr/>
  </property>
  <property fmtid="{D5CDD505-2E9C-101B-9397-08002B2CF9AE}" pid="31" name="Decision">
    <vt:lpwstr/>
  </property>
  <property fmtid="{D5CDD505-2E9C-101B-9397-08002B2CF9AE}" pid="32" name="k3ba82bb806b47ada10fce19fe10cb91">
    <vt:lpwstr/>
  </property>
  <property fmtid="{D5CDD505-2E9C-101B-9397-08002B2CF9AE}" pid="33" name="Publisher">
    <vt:lpwstr/>
  </property>
  <property fmtid="{D5CDD505-2E9C-101B-9397-08002B2CF9AE}" pid="34" name="e926fc3865624f2a93dca1c22a85bbd8">
    <vt:lpwstr/>
  </property>
</Properties>
</file>